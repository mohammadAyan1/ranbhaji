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AMBHAJI" sheetId="1" r:id="rId5"/>
  </sheets>
</workbook>
</file>

<file path=xl/comments1.xml><?xml version="1.0" encoding="utf-8"?>
<comments xmlns="http://schemas.openxmlformats.org/spreadsheetml/2006/main">
  <authors>
    <author>Sarge Mats</author>
  </authors>
  <commentList>
    <comment ref="O7" authorId="0">
      <text>
        <r>
          <rPr>
            <sz val="11"/>
            <color indexed="8"/>
            <rFont val="Helvetica Neue"/>
          </rPr>
          <t xml:space="preserve">Sarge Mats:
NEW CHARGES OF 750 APPLIED FOR SENIOR PLUS DELIVERY CHARGES 150 </t>
        </r>
      </text>
    </comment>
    <comment ref="O11" authorId="0">
      <text>
        <r>
          <rPr>
            <sz val="11"/>
            <color indexed="8"/>
            <rFont val="Helvetica Neue"/>
          </rPr>
          <t>Sarge Mats:
NEW SUMMER-MONSOON  RATES APPLICABLE TILL MAR TO AUGUST</t>
        </r>
      </text>
    </comment>
    <comment ref="O14" authorId="0">
      <text>
        <r>
          <rPr>
            <sz val="11"/>
            <color indexed="8"/>
            <rFont val="Helvetica Neue"/>
          </rPr>
          <t>Sarge Mats:
CONVERTED TO 1500 USING OLD RATES WITH 9 DELIVERIES 999/6=166.5, 166.5X 9 DEL=1498.50, …..</t>
        </r>
      </text>
    </comment>
    <comment ref="X14" authorId="0">
      <text>
        <r>
          <rPr>
            <sz val="11"/>
            <color indexed="8"/>
            <rFont val="Helvetica Neue"/>
          </rPr>
          <t>Sarge Mats:
CONVERTED TO 1500 USING OLD RATES WITH 9 DELIVERIES 999/6=166.5, 166.5X 9 DEL=1498.50, …..</t>
        </r>
      </text>
    </comment>
    <comment ref="O16" authorId="0">
      <text>
        <r>
          <rPr>
            <sz val="11"/>
            <color indexed="8"/>
            <rFont val="Helvetica Neue"/>
          </rPr>
          <t>Sarge Mats:
NEW SUMMER-MONSOON  RATES APPLICABLE TILL MAR TO AUGUST</t>
        </r>
      </text>
    </comment>
    <comment ref="Y21" authorId="0">
      <text>
        <r>
          <rPr>
            <sz val="11"/>
            <color indexed="8"/>
            <rFont val="Helvetica Neue"/>
          </rPr>
          <t>Sarge Mats:
PLAN UPGRADED TO SILVER</t>
        </r>
      </text>
    </comment>
    <comment ref="O29" authorId="0">
      <text>
        <r>
          <rPr>
            <sz val="11"/>
            <color indexed="8"/>
            <rFont val="Helvetica Neue"/>
          </rPr>
          <t>Sarge Mats:
2499 + (415*2=830) =3329 +5%= 3500</t>
        </r>
      </text>
    </comment>
    <comment ref="O34" authorId="0">
      <text>
        <r>
          <rPr>
            <sz val="11"/>
            <color indexed="8"/>
            <rFont val="Helvetica Neue"/>
          </rPr>
          <t>Sarge Mats:
NEW CHARGES OF 1499 APPLIED FOR NANO PLAN PLUS ADDITIONAL 3 SERVINGS CHARGE</t>
        </r>
      </text>
    </comment>
    <comment ref="Y37" authorId="0">
      <text>
        <r>
          <rPr>
            <sz val="11"/>
            <color indexed="8"/>
            <rFont val="Helvetica Neue"/>
          </rPr>
          <t>Sarge Mats:
DEMANDED ONE DAY EARLIER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<sst xmlns="http://schemas.openxmlformats.org/spreadsheetml/2006/main" uniqueCount="192">
  <si>
    <t>RAMBHAJI</t>
  </si>
  <si>
    <t>S.NO.</t>
  </si>
  <si>
    <t>CUST ID</t>
  </si>
  <si>
    <t>PLAN ID</t>
  </si>
  <si>
    <t>DATE</t>
  </si>
  <si>
    <t>NAME</t>
  </si>
  <si>
    <t>MOBILE 1</t>
  </si>
  <si>
    <t>MOBILE 2</t>
  </si>
  <si>
    <t>PLAN</t>
  </si>
  <si>
    <t>PLAN NATURE</t>
  </si>
  <si>
    <t>PLAN CHARGES</t>
  </si>
  <si>
    <t>EMAIL</t>
  </si>
  <si>
    <t>ADDRESS1</t>
  </si>
  <si>
    <t>ADDRESS2</t>
  </si>
  <si>
    <t>PIN CODE</t>
  </si>
  <si>
    <t>PLAN COST</t>
  </si>
  <si>
    <t>GST</t>
  </si>
  <si>
    <t>DISCOUNT</t>
  </si>
  <si>
    <t>AMOUNT PAID</t>
  </si>
  <si>
    <t>BALANCE</t>
  </si>
  <si>
    <t>REMARKS 1</t>
  </si>
  <si>
    <t>STATUS</t>
  </si>
  <si>
    <t>TIME SLOT</t>
  </si>
  <si>
    <t>SERVINGS</t>
  </si>
  <si>
    <t>SERVING #1</t>
  </si>
  <si>
    <t>SERVING #2</t>
  </si>
  <si>
    <t>SERVING #3</t>
  </si>
  <si>
    <t>SERVING #4</t>
  </si>
  <si>
    <t>SERVING #5</t>
  </si>
  <si>
    <t>SERVING #6</t>
  </si>
  <si>
    <t>SERVING #7</t>
  </si>
  <si>
    <t>SERVING #8</t>
  </si>
  <si>
    <t>SERVING #9</t>
  </si>
  <si>
    <t xml:space="preserve">( FIXED VEGETABLE 1) आलू (Aloo) </t>
  </si>
  <si>
    <t>( FIXED VEGETABLE 2) प्याज (Pyaz)</t>
  </si>
  <si>
    <t>( FIXED VEGETABLE 3 ) टमाटर (Tamatar)</t>
  </si>
  <si>
    <t>( FIXED VEGETABLE 4) खीरा (Kheera)</t>
  </si>
  <si>
    <t>( FIXED VEGETABLE 5) नींबू (Nimbu)</t>
  </si>
  <si>
    <t>( FIXED VEGETABLE 6) लहसुन (Lahsun)</t>
  </si>
  <si>
    <t>( FIXED VEGETABLE 7) अदरक (Adrak)</t>
  </si>
  <si>
    <t>( FIXED VEGETABLE 8) धनिया पत्ता (Dhaniya Patta)</t>
  </si>
  <si>
    <t>( FIXED VEGETABLE 9) हरी मिर्च (Hari Mirch)</t>
  </si>
  <si>
    <t xml:space="preserve">( SEASONAL VEGETABLE 1)  </t>
  </si>
  <si>
    <t>(SEASONAL VEGETABLE 2)</t>
  </si>
  <si>
    <t>(SEASONAL VEGETABLE 3)</t>
  </si>
  <si>
    <t>(SEASONAL VEGETABLE 4)</t>
  </si>
  <si>
    <t>(EXTRA VEGETABLE 1)</t>
  </si>
  <si>
    <t>(EXTRA VEGETABLE 2)</t>
  </si>
  <si>
    <t>TOTAL WEIGHT OF VEGETABLES</t>
  </si>
  <si>
    <t>REMARKS2</t>
  </si>
  <si>
    <t>KIRAN SHRIVASTAVA</t>
  </si>
  <si>
    <t>SILVER</t>
  </si>
  <si>
    <t>RENEWED</t>
  </si>
  <si>
    <t>PAID</t>
  </si>
  <si>
    <t>44, SAGE HERITAGE, PHASE 1</t>
  </si>
  <si>
    <t>BAWADIYA KALAN, BHOPAL</t>
  </si>
  <si>
    <t>ACTIVE</t>
  </si>
  <si>
    <t>NO BAIGAN, SIX SEASONAL VEGETABLES REQUIRED AT HALF THE QTY OF STANDARD SERVING  THREE SEASONAL VEGETABLE.</t>
  </si>
  <si>
    <t>MITHILESH SINGH</t>
  </si>
  <si>
    <t>NANO</t>
  </si>
  <si>
    <t>A-105, DRISTI ENCLAVE</t>
  </si>
  <si>
    <t>ROHIT NAGAR, BHOPAL</t>
  </si>
  <si>
    <t>-</t>
  </si>
  <si>
    <t>NARENDRA KUMAR KHARE</t>
  </si>
  <si>
    <t>J5-106, CANAL KINSHIP</t>
  </si>
  <si>
    <t>SALAIYA, BHOPAL</t>
  </si>
  <si>
    <t>S N SAHU</t>
  </si>
  <si>
    <t>25, CHINAR UPVAN</t>
  </si>
  <si>
    <t>DANISH NAGAR , BHOPAL</t>
  </si>
  <si>
    <t>ARABI, KATHAL</t>
  </si>
  <si>
    <t>TREESA CHACKO</t>
  </si>
  <si>
    <t>SENIORS-H</t>
  </si>
  <si>
    <t xml:space="preserve">RV-111, INDUS GARDEN </t>
  </si>
  <si>
    <t>NO ALU AND TOMATOE</t>
  </si>
  <si>
    <t>SHEILA KURIAN</t>
  </si>
  <si>
    <t>788, D SECTOR, BDA COLONY</t>
  </si>
  <si>
    <t xml:space="preserve">INCLUDE RAW PAPITA, RAW KELA AND ALL EXCEPT DRUMSTICKS, BRINJAL, KATHAL , KULFA , CABBAGE,  KADDU AND ARABI </t>
  </si>
  <si>
    <t>NIDHI SHRIVASTAVA</t>
  </si>
  <si>
    <t>A-407, DRISHTI ENCLAVE</t>
  </si>
  <si>
    <t>Kaddu , Gawar falli</t>
  </si>
  <si>
    <t>HARIHAR MUSALGAONKAR</t>
  </si>
  <si>
    <t>harihar0307@gmail.com</t>
  </si>
  <si>
    <t>J2-104, CANAL KINGSHIP</t>
  </si>
  <si>
    <t>RAVI JHA</t>
  </si>
  <si>
    <t>jharavi67@gmail.com</t>
  </si>
  <si>
    <t>D-3 &amp; 4, SHALIMAR CAMPUS</t>
  </si>
  <si>
    <t>GULMOHAR COLONY, BHOPAL</t>
  </si>
  <si>
    <t xml:space="preserve">NO NIMBU, </t>
  </si>
  <si>
    <t>PROF. RAVI DWIVEDI</t>
  </si>
  <si>
    <t>UPGRADED</t>
  </si>
  <si>
    <t>HOUSE NO 122, SHIVOM</t>
  </si>
  <si>
    <t>G2 GULMOHAR COLONY, BHOPAL.</t>
  </si>
  <si>
    <t>MEENAKSHI SINGH</t>
  </si>
  <si>
    <t>SAVOY COMPLEX</t>
  </si>
  <si>
    <t>NO TINDA, BAIGAN, SHALGAM, PATTA GOBI</t>
  </si>
  <si>
    <t>ANITA GUPTA/SWATI GUPTA</t>
  </si>
  <si>
    <t>108, SAGE HERITAGE, PHASE 1</t>
  </si>
  <si>
    <t>NO LEHSUN &amp; NIMBU AND UPGRADE TO 50GM ADRAK, 50 GM DHANIYA , ALOO 100GM</t>
  </si>
  <si>
    <t>SEEMA PASHINE</t>
  </si>
  <si>
    <t>HNO. C32, NIKHIL BUNGLOW</t>
  </si>
  <si>
    <t>NARMADAPURAM ROAD, BHOPAL</t>
  </si>
  <si>
    <t>PRASHANT GUPTA</t>
  </si>
  <si>
    <t xml:space="preserve">ORCHID 269, RUCHI LIFESCAPES </t>
  </si>
  <si>
    <t>JATKHEDI, BHOPAL</t>
  </si>
  <si>
    <t>SMRITI</t>
  </si>
  <si>
    <t>A-402, DRISHTI ENCLAVE</t>
  </si>
  <si>
    <t>SAVINDER SINGH SALUJA</t>
  </si>
  <si>
    <t>SENIORS-H+</t>
  </si>
  <si>
    <t>11E, PALACE ORCHID</t>
  </si>
  <si>
    <t>B BUILDING, KOLAR ROAD</t>
  </si>
  <si>
    <t>PALAVI TIWARI</t>
  </si>
  <si>
    <t>NEW</t>
  </si>
  <si>
    <t>A-45 NIKHIL BUNGLOWS PHASE -III</t>
  </si>
  <si>
    <t>JATKHEDI , BHOPAL</t>
  </si>
  <si>
    <t>K.V. PAVANI</t>
  </si>
  <si>
    <t xml:space="preserve">D9-602, LILA  ATHYULAM , NEAR DEVIKA HOTEL AND RESORT </t>
  </si>
  <si>
    <t>PANKAJ KUMAR SHARMA</t>
  </si>
  <si>
    <t>A2-P1, SEVENTH FLOOR , AAMRA VALLEY, NEAR RGPM</t>
  </si>
  <si>
    <t>SALAIYA ROAD, SANKHEDI, BHOPAL</t>
  </si>
  <si>
    <t xml:space="preserve"> PHOOL GOBI DOUBLE</t>
  </si>
  <si>
    <t>PANKAJ KUMAR SHRIVASTAVA</t>
  </si>
  <si>
    <t>G2/165,</t>
  </si>
  <si>
    <t>JAGRITI SINGH</t>
  </si>
  <si>
    <t>FLAT NO 401, TOWER NO 7, SAGAR PRIME</t>
  </si>
  <si>
    <t>AMIT GHOSH</t>
  </si>
  <si>
    <t>GOLD</t>
  </si>
  <si>
    <t>FLAT NO 303, SAGAR PARADISE</t>
  </si>
  <si>
    <t>G3 GULMOHAR COLONY, BHOPAL.</t>
  </si>
  <si>
    <t>ONE EXTRA SEASONAL VEGETABLE FREE IN PLAN</t>
  </si>
  <si>
    <t>GEETA SHRIVASTAVA</t>
  </si>
  <si>
    <t>SENIORS</t>
  </si>
  <si>
    <t>B-6, SIDDHARTHA CAMPUS, NEAR AURA MALL</t>
  </si>
  <si>
    <t>NO LEHSUN,  NIMBU, ADHRAK AND UPGRADE PYAZ TO 400GM, DHANIYA  TO 80GM,</t>
  </si>
  <si>
    <t>ANJALI MEENA</t>
  </si>
  <si>
    <t>15, CHINAR UPVAN</t>
  </si>
  <si>
    <t>DR AKASHDEEP YADAV</t>
  </si>
  <si>
    <t>C-501, GALAXY TOWER</t>
  </si>
  <si>
    <t>NO BHINDI, total seven items</t>
  </si>
  <si>
    <t>DRASTHI JAIN</t>
  </si>
  <si>
    <t>E-7/68 , NEAR SAI BABA BOARD</t>
  </si>
  <si>
    <t>ARERA COLONY, BHOPAL</t>
  </si>
  <si>
    <t>MANOJ  FADNAVIS</t>
  </si>
  <si>
    <t>409, RACHNA NAGAR , AUTO STAND</t>
  </si>
  <si>
    <t>BHOPAL</t>
  </si>
  <si>
    <t>I.S.SARAN</t>
  </si>
  <si>
    <t>E/002, SHALIMAR CAMPUS, NEAR SHEEL PUBLIC SCHOOL</t>
  </si>
  <si>
    <t>KAVITA CHANDANI</t>
  </si>
  <si>
    <t>A-402, EDEN ELITE</t>
  </si>
  <si>
    <t>S S SAXENA</t>
  </si>
  <si>
    <t>A 303, SHALIMAR REGENCY</t>
  </si>
  <si>
    <t>SHANKAR MALVIYA</t>
  </si>
  <si>
    <t>E-8/99, BHARAT NAGAR</t>
  </si>
  <si>
    <t>JYOTI VERMA</t>
  </si>
  <si>
    <t>D-26, NIKHIL BUNGLOWS</t>
  </si>
  <si>
    <t>NO FRENCH BEANS , DRUMSTICKS, AND RARELY SHIMLA MIRCH, 4 PIECES OF LEMON AND 4 PIECES OF KHEERA IN EVERY SERVING</t>
  </si>
  <si>
    <t>DEEPA GOUR</t>
  </si>
  <si>
    <t>deepagour567@gmail.com</t>
  </si>
  <si>
    <t>64, RED SQUARE, NEAR GOLDEN CITY</t>
  </si>
  <si>
    <t>NO KHEERA , ONLY DESI KAKDI, BEAUTY WATER 5 LITRE  EVERY DELIVERY</t>
  </si>
  <si>
    <t>SHALINI SHARMA</t>
  </si>
  <si>
    <t>vaasu.s.mom@gmail.com</t>
  </si>
  <si>
    <t>A-202, BHOJPAL TOWER</t>
  </si>
  <si>
    <t>E8, GULMOHAR COLONY , BHOPAL</t>
  </si>
  <si>
    <t>LATA PUNJABI</t>
  </si>
  <si>
    <t>PARSHV PAVALION</t>
  </si>
  <si>
    <t>MUKTA SHRIVASTAVA</t>
  </si>
  <si>
    <t>H-371, GAUTHAM NAGAR, NEAR MADHAV CLINIC</t>
  </si>
  <si>
    <t>GAUTHAM NAGAR , BHOPAL</t>
  </si>
  <si>
    <t>VIRENDRA SINGH CHOWDHURY</t>
  </si>
  <si>
    <r>
      <rPr>
        <b val="1"/>
        <u val="single"/>
        <sz val="10"/>
        <color indexed="8"/>
        <rFont val="Helvetica Neue"/>
      </rPr>
      <t>drnamita720@gmail.com</t>
    </r>
  </si>
  <si>
    <t>135-B, DEEPAK SOCIETY</t>
  </si>
  <si>
    <t>CHUNA BHATTI , KOLAR RD, BHOPAL</t>
  </si>
  <si>
    <t>SAPNA MUKERJEE</t>
  </si>
  <si>
    <t>FLAT NO 308, SAGAR PARADISE</t>
  </si>
  <si>
    <t xml:space="preserve">RAW PAPITA, RAW KELA, DRUMSTICKS </t>
  </si>
  <si>
    <t>HEENA SURYAWANSHI</t>
  </si>
  <si>
    <t>429, OLIVE</t>
  </si>
  <si>
    <t>RUCHI LIFESCAPES, JATKHEDI, BHOPAL</t>
  </si>
  <si>
    <t>ASHUTOSH</t>
  </si>
  <si>
    <t xml:space="preserve">E-8/400, TOWARDS LANE NEAR BANDHAN BANK </t>
  </si>
  <si>
    <t>TRILANGA, BHOPAL</t>
  </si>
  <si>
    <t>ARTI SHARMA</t>
  </si>
  <si>
    <t>C-203, DRISHTI ENCLAVE</t>
  </si>
  <si>
    <t>RANJANA MAGAR</t>
  </si>
  <si>
    <t>64, BANJARI D-SECTOR, NEAR CUSTOM COLONY, NEAR LEELA PARISAR, NEAR MAHATMA GANDHI ITI COLLEGE</t>
  </si>
  <si>
    <t>Kolar Rd, Bhopal,</t>
  </si>
  <si>
    <t>MADHU SOLANKI</t>
  </si>
  <si>
    <t>12/ 186, SOUTH AVENUE</t>
  </si>
  <si>
    <t>Payment : UPI</t>
  </si>
  <si>
    <t>G. SOWJANYA</t>
  </si>
  <si>
    <r>
      <rPr>
        <b val="1"/>
        <u val="single"/>
        <sz val="10"/>
        <color indexed="8"/>
        <rFont val="Helvetica Neue"/>
      </rPr>
      <t>SOWJANYAFEB12@GMAIL.COM</t>
    </r>
  </si>
  <si>
    <t>E-7/799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</si>
</sst>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 mmm yyyy"/>
    <numFmt numFmtId="60" formatCode="[$₹-4009] #,##0.00"/>
    <numFmt numFmtId="61" formatCode="h AM/PM"/>
    <numFmt numFmtId="62" formatCode="dddd, d mmmm yyyy"/>
    <numFmt numFmtId="63" formatCode="#,###&quot;gms&quot;"/>
  </numFmts>
  <fonts count="14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Helvetica Neue"/>
    </font>
    <font>
      <sz val="10"/>
      <color indexed="15"/>
      <name val="Helvetica Neue Medium"/>
    </font>
    <font>
      <b val="1"/>
      <sz val="10"/>
      <color indexed="15"/>
      <name val="Helvetica Neue"/>
    </font>
    <font>
      <sz val="10"/>
      <color indexed="15"/>
      <name val="Helvetica Neue"/>
    </font>
    <font>
      <sz val="11"/>
      <color indexed="15"/>
      <name val="Helvetica Neue"/>
    </font>
    <font>
      <sz val="11"/>
      <color indexed="8"/>
      <name val="Helvetica Neue"/>
    </font>
    <font>
      <sz val="10"/>
      <color indexed="8"/>
      <name val="Helvetica Neue Medium"/>
    </font>
    <font>
      <b val="1"/>
      <sz val="10"/>
      <color indexed="8"/>
      <name val="Helvetica Neue"/>
    </font>
    <font>
      <sz val="10"/>
      <color indexed="20"/>
      <name val="Helvetica Neue Medium"/>
    </font>
    <font>
      <b val="1"/>
      <sz val="10"/>
      <color indexed="20"/>
      <name val="Helvetica Neue"/>
    </font>
    <font>
      <sz val="10"/>
      <color indexed="20"/>
      <name val="Helvetica Neue"/>
    </font>
    <font>
      <b val="1"/>
      <u val="single"/>
      <sz val="10"/>
      <color indexed="8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2" fillId="4" borderId="2" applyNumberFormat="1" applyFont="1" applyFill="1" applyBorder="1" applyAlignment="1" applyProtection="0">
      <alignment horizontal="center" vertical="center" wrapText="1"/>
    </xf>
    <xf numFmtId="49" fontId="2" fillId="4" borderId="3" applyNumberFormat="1" applyFont="1" applyFill="1" applyBorder="1" applyAlignment="1" applyProtection="0">
      <alignment horizontal="center" vertical="center" wrapText="1"/>
    </xf>
    <xf numFmtId="0" fontId="3" fillId="5" borderId="4" applyNumberFormat="1" applyFont="1" applyFill="1" applyBorder="1" applyAlignment="1" applyProtection="0">
      <alignment horizontal="center" vertical="center" wrapText="1"/>
    </xf>
    <xf numFmtId="59" fontId="3" fillId="5" borderId="4" applyNumberFormat="1" applyFont="1" applyFill="1" applyBorder="1" applyAlignment="1" applyProtection="0">
      <alignment horizontal="center" vertical="center" wrapText="1"/>
    </xf>
    <xf numFmtId="49" fontId="3" fillId="5" borderId="5" applyNumberFormat="1" applyFont="1" applyFill="1" applyBorder="1" applyAlignment="1" applyProtection="0">
      <alignment horizontal="center" vertical="center" wrapText="1"/>
    </xf>
    <xf numFmtId="0" fontId="4" fillId="5" borderId="6" applyNumberFormat="1" applyFont="1" applyFill="1" applyBorder="1" applyAlignment="1" applyProtection="0">
      <alignment horizontal="center" vertical="center" wrapText="1"/>
    </xf>
    <xf numFmtId="0" fontId="4" fillId="5" borderId="4" applyNumberFormat="0" applyFont="1" applyFill="1" applyBorder="1" applyAlignment="1" applyProtection="0">
      <alignment horizontal="center" vertical="center" wrapText="1"/>
    </xf>
    <xf numFmtId="49" fontId="5" fillId="5" borderId="4" applyNumberFormat="1" applyFont="1" applyFill="1" applyBorder="1" applyAlignment="1" applyProtection="0">
      <alignment horizontal="center" vertical="center" wrapText="1"/>
    </xf>
    <xf numFmtId="0" fontId="5" fillId="5" borderId="4" applyNumberFormat="0" applyFont="1" applyFill="1" applyBorder="1" applyAlignment="1" applyProtection="0">
      <alignment horizontal="center" vertical="center" wrapText="1"/>
    </xf>
    <xf numFmtId="0" fontId="5" fillId="5" borderId="4" applyNumberFormat="1" applyFont="1" applyFill="1" applyBorder="1" applyAlignment="1" applyProtection="0">
      <alignment horizontal="center" vertical="center" wrapText="1"/>
    </xf>
    <xf numFmtId="60" fontId="5" fillId="5" borderId="4" applyNumberFormat="1" applyFont="1" applyFill="1" applyBorder="1" applyAlignment="1" applyProtection="0">
      <alignment horizontal="center" vertical="center" wrapText="1"/>
    </xf>
    <xf numFmtId="61" fontId="5" fillId="5" borderId="4" applyNumberFormat="1" applyFont="1" applyFill="1" applyBorder="1" applyAlignment="1" applyProtection="0">
      <alignment horizontal="center" vertical="center" wrapText="1"/>
    </xf>
    <xf numFmtId="1" fontId="5" fillId="5" borderId="4" applyNumberFormat="1" applyFont="1" applyFill="1" applyBorder="1" applyAlignment="1" applyProtection="0">
      <alignment horizontal="center" vertical="center" wrapText="1"/>
    </xf>
    <xf numFmtId="62" fontId="4" fillId="5" borderId="4" applyNumberFormat="1" applyFont="1" applyFill="1" applyBorder="1" applyAlignment="1" applyProtection="0">
      <alignment horizontal="center" vertical="center" wrapText="1"/>
    </xf>
    <xf numFmtId="62" fontId="5" fillId="5" borderId="4" applyNumberFormat="1" applyFont="1" applyFill="1" applyBorder="1" applyAlignment="1" applyProtection="0">
      <alignment horizontal="center" vertical="center" wrapText="1"/>
    </xf>
    <xf numFmtId="63" fontId="5" fillId="5" borderId="4" applyNumberFormat="1" applyFont="1" applyFill="1" applyBorder="1" applyAlignment="1" applyProtection="0">
      <alignment horizontal="center" vertical="center" wrapText="1"/>
    </xf>
    <xf numFmtId="0" fontId="3" fillId="6" borderId="7" applyNumberFormat="1" applyFont="1" applyFill="1" applyBorder="1" applyAlignment="1" applyProtection="0">
      <alignment horizontal="center" vertical="center" wrapText="1"/>
    </xf>
    <xf numFmtId="0" fontId="3" fillId="5" borderId="7" applyNumberFormat="1" applyFont="1" applyFill="1" applyBorder="1" applyAlignment="1" applyProtection="0">
      <alignment horizontal="center" vertical="center" wrapText="1"/>
    </xf>
    <xf numFmtId="59" fontId="3" fillId="6" borderId="7" applyNumberFormat="1" applyFont="1" applyFill="1" applyBorder="1" applyAlignment="1" applyProtection="0">
      <alignment horizontal="center" vertical="center" wrapText="1"/>
    </xf>
    <xf numFmtId="49" fontId="3" fillId="5" borderId="8" applyNumberFormat="1" applyFont="1" applyFill="1" applyBorder="1" applyAlignment="1" applyProtection="0">
      <alignment horizontal="center" vertical="center" wrapText="1"/>
    </xf>
    <xf numFmtId="0" fontId="4" fillId="5" borderId="9" applyNumberFormat="1" applyFont="1" applyFill="1" applyBorder="1" applyAlignment="1" applyProtection="0">
      <alignment horizontal="center" vertical="center" wrapText="1"/>
    </xf>
    <xf numFmtId="0" fontId="4" fillId="5" borderId="7" applyNumberFormat="1" applyFont="1" applyFill="1" applyBorder="1" applyAlignment="1" applyProtection="0">
      <alignment horizontal="center" vertical="center" wrapText="1"/>
    </xf>
    <xf numFmtId="49" fontId="4" fillId="5" borderId="7" applyNumberFormat="1" applyFont="1" applyFill="1" applyBorder="1" applyAlignment="1" applyProtection="0">
      <alignment horizontal="center" vertical="center" wrapText="1"/>
    </xf>
    <xf numFmtId="0" fontId="4" fillId="5" borderId="7" applyNumberFormat="0" applyFont="1" applyFill="1" applyBorder="1" applyAlignment="1" applyProtection="0">
      <alignment horizontal="center" vertical="center" wrapText="1"/>
    </xf>
    <xf numFmtId="60" fontId="5" fillId="5" borderId="7" applyNumberFormat="1" applyFont="1" applyFill="1" applyBorder="1" applyAlignment="1" applyProtection="0">
      <alignment horizontal="center" vertical="center" wrapText="1"/>
    </xf>
    <xf numFmtId="60" fontId="4" fillId="5" borderId="7" applyNumberFormat="1" applyFont="1" applyFill="1" applyBorder="1" applyAlignment="1" applyProtection="0">
      <alignment horizontal="center" vertical="center" wrapText="1"/>
    </xf>
    <xf numFmtId="61" fontId="4" fillId="5" borderId="7" applyNumberFormat="1" applyFont="1" applyFill="1" applyBorder="1" applyAlignment="1" applyProtection="0">
      <alignment horizontal="center" vertical="center" wrapText="1"/>
    </xf>
    <xf numFmtId="1" fontId="4" fillId="5" borderId="7" applyNumberFormat="1" applyFont="1" applyFill="1" applyBorder="1" applyAlignment="1" applyProtection="0">
      <alignment horizontal="center" vertical="center" wrapText="1"/>
    </xf>
    <xf numFmtId="62" fontId="4" fillId="5" borderId="7" applyNumberFormat="1" applyFont="1" applyFill="1" applyBorder="1" applyAlignment="1" applyProtection="0">
      <alignment horizontal="center" vertical="center" wrapText="1"/>
    </xf>
    <xf numFmtId="63" fontId="4" fillId="5" borderId="7" applyNumberFormat="1" applyFont="1" applyFill="1" applyBorder="1" applyAlignment="1" applyProtection="0">
      <alignment horizontal="center" vertical="center" wrapText="1"/>
    </xf>
    <xf numFmtId="63" fontId="5" fillId="5" borderId="7" applyNumberFormat="1" applyFont="1" applyFill="1" applyBorder="1" applyAlignment="1" applyProtection="0">
      <alignment horizontal="center" vertical="center" wrapText="1"/>
    </xf>
    <xf numFmtId="59" fontId="3" fillId="5" borderId="7" applyNumberFormat="1" applyFont="1" applyFill="1" applyBorder="1" applyAlignment="1" applyProtection="0">
      <alignment horizontal="center" vertical="center" wrapText="1"/>
    </xf>
    <xf numFmtId="49" fontId="5" fillId="5" borderId="7" applyNumberFormat="1" applyFont="1" applyFill="1" applyBorder="1" applyAlignment="1" applyProtection="0">
      <alignment horizontal="center" vertical="center" wrapText="1"/>
    </xf>
    <xf numFmtId="0" fontId="6" fillId="5" borderId="7" applyNumberFormat="0" applyFont="1" applyFill="1" applyBorder="1" applyAlignment="1" applyProtection="0">
      <alignment horizontal="center" vertical="center" wrapText="1"/>
    </xf>
    <xf numFmtId="49" fontId="6" fillId="5" borderId="7" applyNumberFormat="1" applyFont="1" applyFill="1" applyBorder="1" applyAlignment="1" applyProtection="0">
      <alignment horizontal="center" vertical="center" wrapText="1"/>
    </xf>
    <xf numFmtId="0" fontId="6" fillId="5" borderId="7" applyNumberFormat="1" applyFont="1" applyFill="1" applyBorder="1" applyAlignment="1" applyProtection="0">
      <alignment horizontal="center" vertical="center" wrapText="1"/>
    </xf>
    <xf numFmtId="20" fontId="5" fillId="5" borderId="7" applyNumberFormat="1" applyFont="1" applyFill="1" applyBorder="1" applyAlignment="1" applyProtection="0">
      <alignment horizontal="center" vertical="center" wrapText="1"/>
    </xf>
    <xf numFmtId="61" fontId="5" fillId="5" borderId="7" applyNumberFormat="1" applyFont="1" applyFill="1" applyBorder="1" applyAlignment="1" applyProtection="0">
      <alignment horizontal="center" vertical="center" wrapText="1"/>
    </xf>
    <xf numFmtId="1" fontId="5" fillId="5" borderId="7" applyNumberFormat="1" applyFont="1" applyFill="1" applyBorder="1" applyAlignment="1" applyProtection="0">
      <alignment horizontal="center" vertical="center" wrapText="1"/>
    </xf>
    <xf numFmtId="62" fontId="5" fillId="5" borderId="7" applyNumberFormat="1" applyFont="1" applyFill="1" applyBorder="1" applyAlignment="1" applyProtection="0">
      <alignment horizontal="center" vertical="center" wrapText="1"/>
    </xf>
    <xf numFmtId="20" fontId="4" fillId="5" borderId="7" applyNumberFormat="1" applyFont="1" applyFill="1" applyBorder="1" applyAlignment="1" applyProtection="0">
      <alignment horizontal="center" vertical="center" wrapText="1"/>
    </xf>
    <xf numFmtId="0" fontId="8" fillId="5" borderId="7" applyNumberFormat="1" applyFont="1" applyFill="1" applyBorder="1" applyAlignment="1" applyProtection="0">
      <alignment horizontal="center" vertical="center" wrapText="1"/>
    </xf>
    <xf numFmtId="59" fontId="8" fillId="5" borderId="7" applyNumberFormat="1" applyFont="1" applyFill="1" applyBorder="1" applyAlignment="1" applyProtection="0">
      <alignment horizontal="center" vertical="center" wrapText="1"/>
    </xf>
    <xf numFmtId="49" fontId="8" fillId="5" borderId="8" applyNumberFormat="1" applyFont="1" applyFill="1" applyBorder="1" applyAlignment="1" applyProtection="0">
      <alignment horizontal="center" vertical="center" wrapText="1"/>
    </xf>
    <xf numFmtId="0" fontId="9" fillId="5" borderId="9" applyNumberFormat="1" applyFont="1" applyFill="1" applyBorder="1" applyAlignment="1" applyProtection="0">
      <alignment horizontal="center" vertical="center" wrapText="1"/>
    </xf>
    <xf numFmtId="0" fontId="9" fillId="5" borderId="7" applyNumberFormat="1" applyFont="1" applyFill="1" applyBorder="1" applyAlignment="1" applyProtection="0">
      <alignment horizontal="center" vertical="center" wrapText="1"/>
    </xf>
    <xf numFmtId="49" fontId="9" fillId="5" borderId="7" applyNumberFormat="1" applyFont="1" applyFill="1" applyBorder="1" applyAlignment="1" applyProtection="0">
      <alignment horizontal="center" vertical="center" wrapText="1"/>
    </xf>
    <xf numFmtId="0" fontId="9" fillId="5" borderId="7" applyNumberFormat="0" applyFont="1" applyFill="1" applyBorder="1" applyAlignment="1" applyProtection="0">
      <alignment horizontal="center" vertical="center" wrapText="1"/>
    </xf>
    <xf numFmtId="60" fontId="9" fillId="5" borderId="7" applyNumberFormat="1" applyFont="1" applyFill="1" applyBorder="1" applyAlignment="1" applyProtection="0">
      <alignment horizontal="center" vertical="center" wrapText="1"/>
    </xf>
    <xf numFmtId="61" fontId="9" fillId="5" borderId="7" applyNumberFormat="1" applyFont="1" applyFill="1" applyBorder="1" applyAlignment="1" applyProtection="0">
      <alignment horizontal="center" vertical="center" wrapText="1"/>
    </xf>
    <xf numFmtId="62" fontId="9" fillId="5" borderId="7" applyNumberFormat="1" applyFont="1" applyFill="1" applyBorder="1" applyAlignment="1" applyProtection="0">
      <alignment horizontal="center" vertical="center" wrapText="1"/>
    </xf>
    <xf numFmtId="63" fontId="9" fillId="5" borderId="7" applyNumberFormat="1" applyFont="1" applyFill="1" applyBorder="1" applyAlignment="1" applyProtection="0">
      <alignment horizontal="center" vertical="center" wrapText="1"/>
    </xf>
    <xf numFmtId="0" fontId="0" fillId="5" borderId="9" applyNumberFormat="1" applyFont="1" applyFill="1" applyBorder="1" applyAlignment="1" applyProtection="0">
      <alignment horizontal="center" vertical="center" wrapText="1"/>
    </xf>
    <xf numFmtId="63" fontId="0" fillId="5" borderId="7" applyNumberFormat="1" applyFont="1" applyFill="1" applyBorder="1" applyAlignment="1" applyProtection="0">
      <alignment horizontal="center" vertical="center" wrapText="1"/>
    </xf>
    <xf numFmtId="0" fontId="8" fillId="6" borderId="7" applyNumberFormat="1" applyFont="1" applyFill="1" applyBorder="1" applyAlignment="1" applyProtection="0">
      <alignment horizontal="center" vertical="center" wrapText="1"/>
    </xf>
    <xf numFmtId="59" fontId="8" fillId="6" borderId="7" applyNumberFormat="1" applyFont="1" applyFill="1" applyBorder="1" applyAlignment="1" applyProtection="0">
      <alignment horizontal="center" vertical="center" wrapText="1"/>
    </xf>
    <xf numFmtId="20" fontId="0" fillId="5" borderId="7" applyNumberFormat="1" applyFont="1" applyFill="1" applyBorder="1" applyAlignment="1" applyProtection="0">
      <alignment horizontal="center" vertical="center" wrapText="1"/>
    </xf>
    <xf numFmtId="49" fontId="0" fillId="5" borderId="7" applyNumberFormat="1" applyFont="1" applyFill="1" applyBorder="1" applyAlignment="1" applyProtection="0">
      <alignment horizontal="center" vertical="center" wrapText="1"/>
    </xf>
    <xf numFmtId="0" fontId="7" fillId="5" borderId="7" applyNumberFormat="0" applyFont="1" applyFill="1" applyBorder="1" applyAlignment="1" applyProtection="0">
      <alignment horizontal="center" vertical="center" wrapText="1"/>
    </xf>
    <xf numFmtId="49" fontId="7" fillId="5" borderId="7" applyNumberFormat="1" applyFont="1" applyFill="1" applyBorder="1" applyAlignment="1" applyProtection="0">
      <alignment horizontal="center" vertical="center" wrapText="1"/>
    </xf>
    <xf numFmtId="0" fontId="7" fillId="5" borderId="7" applyNumberFormat="1" applyFont="1" applyFill="1" applyBorder="1" applyAlignment="1" applyProtection="0">
      <alignment horizontal="center" vertical="center" wrapText="1"/>
    </xf>
    <xf numFmtId="60" fontId="0" fillId="5" borderId="7" applyNumberFormat="1" applyFont="1" applyFill="1" applyBorder="1" applyAlignment="1" applyProtection="0">
      <alignment horizontal="center" vertical="center" wrapText="1"/>
    </xf>
    <xf numFmtId="61" fontId="0" fillId="5" borderId="7" applyNumberFormat="1" applyFont="1" applyFill="1" applyBorder="1" applyAlignment="1" applyProtection="0">
      <alignment horizontal="center" vertical="center" wrapText="1"/>
    </xf>
    <xf numFmtId="1" fontId="0" fillId="5" borderId="7" applyNumberFormat="1" applyFont="1" applyFill="1" applyBorder="1" applyAlignment="1" applyProtection="0">
      <alignment horizontal="center" vertical="center" wrapText="1"/>
    </xf>
    <xf numFmtId="62" fontId="0" fillId="5" borderId="7" applyNumberFormat="1" applyFont="1" applyFill="1" applyBorder="1" applyAlignment="1" applyProtection="0">
      <alignment horizontal="center" vertical="center" wrapText="1"/>
    </xf>
    <xf numFmtId="0" fontId="8" fillId="7" borderId="7" applyNumberFormat="1" applyFont="1" applyFill="1" applyBorder="1" applyAlignment="1" applyProtection="0">
      <alignment horizontal="center" vertical="center" wrapText="1"/>
    </xf>
    <xf numFmtId="59" fontId="8" fillId="7" borderId="7" applyNumberFormat="1" applyFont="1" applyFill="1" applyBorder="1" applyAlignment="1" applyProtection="0">
      <alignment horizontal="center" vertical="center" wrapText="1"/>
    </xf>
    <xf numFmtId="49" fontId="8" fillId="7" borderId="8" applyNumberFormat="1" applyFont="1" applyFill="1" applyBorder="1" applyAlignment="1" applyProtection="0">
      <alignment horizontal="center" vertical="center" wrapText="1"/>
    </xf>
    <xf numFmtId="0" fontId="0" fillId="7" borderId="9" applyNumberFormat="1" applyFont="1" applyFill="1" applyBorder="1" applyAlignment="1" applyProtection="0">
      <alignment horizontal="center" vertical="center" wrapText="1"/>
    </xf>
    <xf numFmtId="0" fontId="9" fillId="7" borderId="7" applyNumberFormat="0" applyFont="1" applyFill="1" applyBorder="1" applyAlignment="1" applyProtection="0">
      <alignment horizontal="center" vertical="center" wrapText="1"/>
    </xf>
    <xf numFmtId="49" fontId="9" fillId="7" borderId="7" applyNumberFormat="1" applyFont="1" applyFill="1" applyBorder="1" applyAlignment="1" applyProtection="0">
      <alignment horizontal="center" vertical="center" wrapText="1"/>
    </xf>
    <xf numFmtId="0" fontId="9" fillId="7" borderId="7" applyNumberFormat="1" applyFont="1" applyFill="1" applyBorder="1" applyAlignment="1" applyProtection="0">
      <alignment horizontal="center" vertical="center" wrapText="1"/>
    </xf>
    <xf numFmtId="60" fontId="9" fillId="7" borderId="7" applyNumberFormat="1" applyFont="1" applyFill="1" applyBorder="1" applyAlignment="1" applyProtection="0">
      <alignment horizontal="center" vertical="center" wrapText="1"/>
    </xf>
    <xf numFmtId="61" fontId="9" fillId="7" borderId="7" applyNumberFormat="1" applyFont="1" applyFill="1" applyBorder="1" applyAlignment="1" applyProtection="0">
      <alignment horizontal="center" vertical="center" wrapText="1"/>
    </xf>
    <xf numFmtId="62" fontId="9" fillId="7" borderId="7" applyNumberFormat="1" applyFont="1" applyFill="1" applyBorder="1" applyAlignment="1" applyProtection="0">
      <alignment horizontal="center" vertical="center" wrapText="1"/>
    </xf>
    <xf numFmtId="63" fontId="9" fillId="7" borderId="7" applyNumberFormat="1" applyFont="1" applyFill="1" applyBorder="1" applyAlignment="1" applyProtection="0">
      <alignment horizontal="center" vertical="center" wrapText="1"/>
    </xf>
    <xf numFmtId="63" fontId="0" fillId="7" borderId="7" applyNumberFormat="1" applyFont="1" applyFill="1" applyBorder="1" applyAlignment="1" applyProtection="0">
      <alignment horizontal="center" vertical="center" wrapText="1"/>
    </xf>
    <xf numFmtId="1" fontId="9" fillId="7" borderId="7" applyNumberFormat="1" applyFont="1" applyFill="1" applyBorder="1" applyAlignment="1" applyProtection="0">
      <alignment horizontal="center" vertical="center" wrapText="1"/>
    </xf>
    <xf numFmtId="0" fontId="8" fillId="8" borderId="7" applyNumberFormat="1" applyFont="1" applyFill="1" applyBorder="1" applyAlignment="1" applyProtection="0">
      <alignment horizontal="center" vertical="center" wrapText="1"/>
    </xf>
    <xf numFmtId="59" fontId="8" fillId="8" borderId="7" applyNumberFormat="1" applyFont="1" applyFill="1" applyBorder="1" applyAlignment="1" applyProtection="0">
      <alignment horizontal="center" vertical="center" wrapText="1"/>
    </xf>
    <xf numFmtId="49" fontId="8" fillId="8" borderId="8" applyNumberFormat="1" applyFont="1" applyFill="1" applyBorder="1" applyAlignment="1" applyProtection="0">
      <alignment horizontal="center" vertical="center" wrapText="1"/>
    </xf>
    <xf numFmtId="0" fontId="0" fillId="9" borderId="9" applyNumberFormat="1" applyFont="1" applyFill="1" applyBorder="1" applyAlignment="1" applyProtection="0">
      <alignment horizontal="center" vertical="center" wrapText="1"/>
    </xf>
    <xf numFmtId="0" fontId="9" fillId="9" borderId="7" applyNumberFormat="0" applyFont="1" applyFill="1" applyBorder="1" applyAlignment="1" applyProtection="0">
      <alignment horizontal="center" vertical="center" wrapText="1"/>
    </xf>
    <xf numFmtId="49" fontId="9" fillId="9" borderId="7" applyNumberFormat="1" applyFont="1" applyFill="1" applyBorder="1" applyAlignment="1" applyProtection="0">
      <alignment horizontal="center" vertical="center" wrapText="1"/>
    </xf>
    <xf numFmtId="0" fontId="9" fillId="9" borderId="7" applyNumberFormat="1" applyFont="1" applyFill="1" applyBorder="1" applyAlignment="1" applyProtection="0">
      <alignment horizontal="center" vertical="center" wrapText="1"/>
    </xf>
    <xf numFmtId="60" fontId="9" fillId="9" borderId="7" applyNumberFormat="1" applyFont="1" applyFill="1" applyBorder="1" applyAlignment="1" applyProtection="0">
      <alignment horizontal="center" vertical="center" wrapText="1"/>
    </xf>
    <xf numFmtId="61" fontId="9" fillId="9" borderId="7" applyNumberFormat="1" applyFont="1" applyFill="1" applyBorder="1" applyAlignment="1" applyProtection="0">
      <alignment horizontal="center" vertical="center" wrapText="1"/>
    </xf>
    <xf numFmtId="1" fontId="9" fillId="9" borderId="7" applyNumberFormat="1" applyFont="1" applyFill="1" applyBorder="1" applyAlignment="1" applyProtection="0">
      <alignment horizontal="center" vertical="center" wrapText="1"/>
    </xf>
    <xf numFmtId="62" fontId="9" fillId="9" borderId="7" applyNumberFormat="1" applyFont="1" applyFill="1" applyBorder="1" applyAlignment="1" applyProtection="0">
      <alignment horizontal="center" vertical="center" wrapText="1"/>
    </xf>
    <xf numFmtId="63" fontId="9" fillId="9" borderId="7" applyNumberFormat="1" applyFont="1" applyFill="1" applyBorder="1" applyAlignment="1" applyProtection="0">
      <alignment horizontal="center" vertical="center" wrapText="1"/>
    </xf>
    <xf numFmtId="63" fontId="0" fillId="9" borderId="7" applyNumberFormat="1" applyFont="1" applyFill="1" applyBorder="1" applyAlignment="1" applyProtection="0">
      <alignment horizontal="center" vertical="center" wrapText="1"/>
    </xf>
    <xf numFmtId="49" fontId="8" fillId="6" borderId="8" applyNumberFormat="1" applyFont="1" applyFill="1" applyBorder="1" applyAlignment="1" applyProtection="0">
      <alignment horizontal="center" vertical="center" wrapText="1"/>
    </xf>
    <xf numFmtId="0" fontId="9" fillId="6" borderId="9" applyNumberFormat="1" applyFont="1" applyFill="1" applyBorder="1" applyAlignment="1" applyProtection="0">
      <alignment horizontal="center" vertical="center" wrapText="1"/>
    </xf>
    <xf numFmtId="0" fontId="9" fillId="6" borderId="7" applyNumberFormat="0" applyFont="1" applyFill="1" applyBorder="1" applyAlignment="1" applyProtection="0">
      <alignment horizontal="center" vertical="center" wrapText="1"/>
    </xf>
    <xf numFmtId="49" fontId="9" fillId="6" borderId="7" applyNumberFormat="1" applyFont="1" applyFill="1" applyBorder="1" applyAlignment="1" applyProtection="0">
      <alignment horizontal="center" vertical="center" wrapText="1"/>
    </xf>
    <xf numFmtId="0" fontId="9" fillId="6" borderId="7" applyNumberFormat="1" applyFont="1" applyFill="1" applyBorder="1" applyAlignment="1" applyProtection="0">
      <alignment horizontal="center" vertical="center" wrapText="1"/>
    </xf>
    <xf numFmtId="60" fontId="0" fillId="6" borderId="7" applyNumberFormat="1" applyFont="1" applyFill="1" applyBorder="1" applyAlignment="1" applyProtection="0">
      <alignment horizontal="center" vertical="center" wrapText="1"/>
    </xf>
    <xf numFmtId="20" fontId="9" fillId="6" borderId="7" applyNumberFormat="1" applyFont="1" applyFill="1" applyBorder="1" applyAlignment="1" applyProtection="0">
      <alignment horizontal="center" vertical="center" wrapText="1"/>
    </xf>
    <xf numFmtId="61" fontId="9" fillId="6" borderId="7" applyNumberFormat="1" applyFont="1" applyFill="1" applyBorder="1" applyAlignment="1" applyProtection="0">
      <alignment horizontal="center" vertical="center" wrapText="1"/>
    </xf>
    <xf numFmtId="1" fontId="9" fillId="6" borderId="7" applyNumberFormat="1" applyFont="1" applyFill="1" applyBorder="1" applyAlignment="1" applyProtection="0">
      <alignment horizontal="center" vertical="center" wrapText="1"/>
    </xf>
    <xf numFmtId="62" fontId="9" fillId="6" borderId="7" applyNumberFormat="1" applyFont="1" applyFill="1" applyBorder="1" applyAlignment="1" applyProtection="0">
      <alignment horizontal="center" vertical="center" wrapText="1"/>
    </xf>
    <xf numFmtId="63" fontId="9" fillId="6" borderId="7" applyNumberFormat="1" applyFont="1" applyFill="1" applyBorder="1" applyAlignment="1" applyProtection="0">
      <alignment horizontal="center" vertical="center" wrapText="1"/>
    </xf>
    <xf numFmtId="63" fontId="0" fillId="6" borderId="7" applyNumberFormat="1" applyFont="1" applyFill="1" applyBorder="1" applyAlignment="1" applyProtection="0">
      <alignment horizontal="center" vertical="center" wrapText="1"/>
    </xf>
    <xf numFmtId="20" fontId="9" fillId="5" borderId="7" applyNumberFormat="1" applyFont="1" applyFill="1" applyBorder="1" applyAlignment="1" applyProtection="0">
      <alignment horizontal="center" vertical="center" wrapText="1"/>
    </xf>
    <xf numFmtId="0" fontId="10" fillId="10" borderId="7" applyNumberFormat="1" applyFont="1" applyFill="1" applyBorder="1" applyAlignment="1" applyProtection="0">
      <alignment horizontal="center" vertical="center" wrapText="1"/>
    </xf>
    <xf numFmtId="59" fontId="10" fillId="10" borderId="7" applyNumberFormat="1" applyFont="1" applyFill="1" applyBorder="1" applyAlignment="1" applyProtection="0">
      <alignment horizontal="center" vertical="center" wrapText="1"/>
    </xf>
    <xf numFmtId="49" fontId="10" fillId="10" borderId="8" applyNumberFormat="1" applyFont="1" applyFill="1" applyBorder="1" applyAlignment="1" applyProtection="0">
      <alignment horizontal="center" vertical="center" wrapText="1"/>
    </xf>
    <xf numFmtId="0" fontId="11" fillId="10" borderId="9" applyNumberFormat="1" applyFont="1" applyFill="1" applyBorder="1" applyAlignment="1" applyProtection="0">
      <alignment horizontal="center" vertical="center" wrapText="1"/>
    </xf>
    <xf numFmtId="0" fontId="11" fillId="10" borderId="7" applyNumberFormat="1" applyFont="1" applyFill="1" applyBorder="1" applyAlignment="1" applyProtection="0">
      <alignment horizontal="center" vertical="center" wrapText="1"/>
    </xf>
    <xf numFmtId="49" fontId="11" fillId="10" borderId="7" applyNumberFormat="1" applyFont="1" applyFill="1" applyBorder="1" applyAlignment="1" applyProtection="0">
      <alignment horizontal="center" vertical="center" wrapText="1"/>
    </xf>
    <xf numFmtId="0" fontId="11" fillId="10" borderId="7" applyNumberFormat="0" applyFont="1" applyFill="1" applyBorder="1" applyAlignment="1" applyProtection="0">
      <alignment horizontal="center" vertical="center" wrapText="1"/>
    </xf>
    <xf numFmtId="60" fontId="12" fillId="10" borderId="7" applyNumberFormat="1" applyFont="1" applyFill="1" applyBorder="1" applyAlignment="1" applyProtection="0">
      <alignment horizontal="center" vertical="center" wrapText="1"/>
    </xf>
    <xf numFmtId="60" fontId="11" fillId="10" borderId="7" applyNumberFormat="1" applyFont="1" applyFill="1" applyBorder="1" applyAlignment="1" applyProtection="0">
      <alignment horizontal="center" vertical="center" wrapText="1"/>
    </xf>
    <xf numFmtId="61" fontId="11" fillId="10" borderId="7" applyNumberFormat="1" applyFont="1" applyFill="1" applyBorder="1" applyAlignment="1" applyProtection="0">
      <alignment horizontal="center" vertical="center" wrapText="1"/>
    </xf>
    <xf numFmtId="1" fontId="11" fillId="10" borderId="7" applyNumberFormat="1" applyFont="1" applyFill="1" applyBorder="1" applyAlignment="1" applyProtection="0">
      <alignment horizontal="center" vertical="center" wrapText="1"/>
    </xf>
    <xf numFmtId="62" fontId="9" fillId="10" borderId="7" applyNumberFormat="1" applyFont="1" applyFill="1" applyBorder="1" applyAlignment="1" applyProtection="0">
      <alignment horizontal="center" vertical="center" wrapText="1"/>
    </xf>
    <xf numFmtId="62" fontId="11" fillId="10" borderId="7" applyNumberFormat="1" applyFont="1" applyFill="1" applyBorder="1" applyAlignment="1" applyProtection="0">
      <alignment horizontal="center" vertical="center" wrapText="1"/>
    </xf>
    <xf numFmtId="63" fontId="11" fillId="10" borderId="7" applyNumberFormat="1" applyFont="1" applyFill="1" applyBorder="1" applyAlignment="1" applyProtection="0">
      <alignment horizontal="center" vertical="center" wrapText="1"/>
    </xf>
    <xf numFmtId="63" fontId="12" fillId="10" borderId="7" applyNumberFormat="1" applyFont="1" applyFill="1" applyBorder="1" applyAlignment="1" applyProtection="0">
      <alignment horizontal="center" vertical="center" wrapText="1"/>
    </xf>
    <xf numFmtId="0" fontId="0" fillId="5" borderId="7" applyNumberFormat="1" applyFont="1" applyFill="1" applyBorder="1" applyAlignment="1" applyProtection="0">
      <alignment horizontal="center" vertical="center" wrapText="1"/>
    </xf>
    <xf numFmtId="0" fontId="0" fillId="5" borderId="7" applyNumberFormat="0" applyFont="1" applyFill="1" applyBorder="1" applyAlignment="1" applyProtection="0">
      <alignment horizontal="center" vertical="center" wrapText="1"/>
    </xf>
    <xf numFmtId="60" fontId="0" fillId="9" borderId="7" applyNumberFormat="1" applyFont="1" applyFill="1" applyBorder="1" applyAlignment="1" applyProtection="0">
      <alignment horizontal="center" vertical="center" wrapText="1"/>
    </xf>
    <xf numFmtId="0" fontId="8" fillId="11" borderId="7" applyNumberFormat="1" applyFont="1" applyFill="1" applyBorder="1" applyAlignment="1" applyProtection="0">
      <alignment horizontal="center" vertical="center" wrapText="1"/>
    </xf>
    <xf numFmtId="59" fontId="8" fillId="11" borderId="7" applyNumberFormat="1" applyFont="1" applyFill="1" applyBorder="1" applyAlignment="1" applyProtection="0">
      <alignment horizontal="center" vertical="center" wrapText="1"/>
    </xf>
    <xf numFmtId="49" fontId="8" fillId="11" borderId="8" applyNumberFormat="1" applyFont="1" applyFill="1" applyBorder="1" applyAlignment="1" applyProtection="0">
      <alignment horizontal="center" vertical="center" wrapText="1"/>
    </xf>
    <xf numFmtId="0" fontId="9" fillId="12" borderId="9" applyNumberFormat="1" applyFont="1" applyFill="1" applyBorder="1" applyAlignment="1" applyProtection="0">
      <alignment horizontal="center" vertical="center" wrapText="1"/>
    </xf>
    <xf numFmtId="0" fontId="9" fillId="12" borderId="7" applyNumberFormat="0" applyFont="1" applyFill="1" applyBorder="1" applyAlignment="1" applyProtection="0">
      <alignment horizontal="center" vertical="center" wrapText="1"/>
    </xf>
    <xf numFmtId="49" fontId="9" fillId="12" borderId="7" applyNumberFormat="1" applyFont="1" applyFill="1" applyBorder="1" applyAlignment="1" applyProtection="0">
      <alignment horizontal="center" vertical="center" wrapText="1"/>
    </xf>
    <xf numFmtId="63" fontId="9" fillId="12" borderId="7" applyNumberFormat="1" applyFont="1" applyFill="1" applyBorder="1" applyAlignment="1" applyProtection="0">
      <alignment horizontal="center" vertical="center" wrapText="1"/>
    </xf>
    <xf numFmtId="0" fontId="9" fillId="3" borderId="7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db100"/>
      <rgbColor rgb="ffc8c8c8"/>
      <rgbColor rgb="ffffffff"/>
      <rgbColor rgb="ff89847f"/>
      <rgbColor rgb="ffe6fdd6"/>
      <rgbColor rgb="ffdefdce"/>
      <rgbColor rgb="fffff056"/>
      <rgbColor rgb="ffff94ca"/>
      <rgbColor rgb="fff09ac9"/>
      <rgbColor rgb="ff54af31"/>
      <rgbColor rgb="ffe7fdd6"/>
      <rgbColor rgb="ffb41700"/>
      <rgbColor rgb="fffcf272"/>
      <rgbColor rgb="ff52ae31"/>
      <rgbColor rgb="ffe6fdd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rnamita720@gmail.com" TargetMode="External"/><Relationship Id="rId2" Type="http://schemas.openxmlformats.org/officeDocument/2006/relationships/hyperlink" Target="mailto:SOWJANYAFEB12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AW46"/>
  <sheetViews>
    <sheetView workbookViewId="0" showGridLines="0" defaultGridColor="1">
      <pane topLeftCell="F3" xSplit="5" ySplit="2" activePane="bottomRight" state="frozen"/>
    </sheetView>
  </sheetViews>
  <sheetFormatPr defaultColWidth="16.3333" defaultRowHeight="19.9" customHeight="1" outlineLevelRow="0" outlineLevelCol="0"/>
  <cols>
    <col min="1" max="1" width="6.5" style="1" customWidth="1"/>
    <col min="2" max="2" width="8.34375" style="1" customWidth="1"/>
    <col min="3" max="3" width="10.7266" style="1" customWidth="1"/>
    <col min="4" max="4" width="10.8516" style="1" customWidth="1"/>
    <col min="5" max="5" width="27.9297" style="1" customWidth="1"/>
    <col min="6" max="6" width="10.9375" style="1" customWidth="1"/>
    <col min="7" max="7" width="10.7266" style="1" customWidth="1"/>
    <col min="8" max="8" width="11.8516" style="1" customWidth="1"/>
    <col min="9" max="9" width="13.3516" style="1" customWidth="1"/>
    <col min="10" max="10" width="11.6797" style="1" customWidth="1"/>
    <col min="11" max="11" width="27.6719" style="1" customWidth="1"/>
    <col min="12" max="12" width="49.3516" style="1" customWidth="1"/>
    <col min="13" max="13" width="39.5" style="1" customWidth="1"/>
    <col min="14" max="15" width="9.67188" style="1" customWidth="1"/>
    <col min="16" max="16" width="7.85156" style="1" customWidth="1"/>
    <col min="17" max="18" width="13.1719" style="1" customWidth="1"/>
    <col min="19" max="19" width="11.7266" style="1" customWidth="1"/>
    <col min="20" max="20" width="20.3516" style="1" customWidth="1"/>
    <col min="21" max="21" width="12.0547" style="1" customWidth="1"/>
    <col min="22" max="22" width="10.5" style="1" customWidth="1"/>
    <col min="23" max="23" width="10" style="1" customWidth="1"/>
    <col min="24" max="32" width="21.8516" style="1" customWidth="1"/>
    <col min="33" max="47" width="11.3516" style="1" customWidth="1"/>
    <col min="48" max="48" width="22.5312" style="1" customWidth="1"/>
    <col min="49" max="49" width="85" style="1" customWidth="1"/>
    <col min="5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94.4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5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t="s" s="6">
        <v>47</v>
      </c>
      <c r="AV2" t="s" s="6">
        <v>48</v>
      </c>
      <c r="AW2" t="s" s="7">
        <v>49</v>
      </c>
    </row>
    <row r="3" ht="32.45" customHeight="1">
      <c r="A3" s="8">
        <v>429</v>
      </c>
      <c r="B3" s="8">
        <v>10068</v>
      </c>
      <c r="C3" s="8">
        <v>2606110425</v>
      </c>
      <c r="D3" s="9">
        <v>46202</v>
      </c>
      <c r="E3" t="s" s="10">
        <v>50</v>
      </c>
      <c r="F3" s="11">
        <v>9425602980</v>
      </c>
      <c r="G3" s="12"/>
      <c r="H3" t="s" s="13">
        <v>51</v>
      </c>
      <c r="I3" t="s" s="13">
        <v>52</v>
      </c>
      <c r="J3" t="s" s="13">
        <v>53</v>
      </c>
      <c r="K3" s="14"/>
      <c r="L3" t="s" s="13">
        <v>54</v>
      </c>
      <c r="M3" t="s" s="13">
        <v>55</v>
      </c>
      <c r="N3" s="15">
        <v>462039</v>
      </c>
      <c r="O3" s="16">
        <v>1999</v>
      </c>
      <c r="P3" s="16">
        <v>99.95</v>
      </c>
      <c r="Q3" s="16">
        <v>0</v>
      </c>
      <c r="R3" s="16">
        <v>0</v>
      </c>
      <c r="S3" s="16">
        <v>2098.95</v>
      </c>
      <c r="T3" s="16"/>
      <c r="U3" t="s" s="13">
        <v>56</v>
      </c>
      <c r="V3" s="17">
        <v>46072.541666666664</v>
      </c>
      <c r="W3" s="18">
        <v>6</v>
      </c>
      <c r="X3" s="19">
        <v>46211</v>
      </c>
      <c r="Y3" s="20">
        <v>46217</v>
      </c>
      <c r="Z3" s="20">
        <v>46223</v>
      </c>
      <c r="AA3" s="20">
        <v>46228</v>
      </c>
      <c r="AB3" s="20">
        <v>46234</v>
      </c>
      <c r="AC3" s="20">
        <v>46240</v>
      </c>
      <c r="AD3" s="20"/>
      <c r="AE3" s="20"/>
      <c r="AF3" s="20"/>
      <c r="AG3" s="21">
        <v>900</v>
      </c>
      <c r="AH3" s="21">
        <v>900</v>
      </c>
      <c r="AI3" s="21">
        <v>450</v>
      </c>
      <c r="AJ3" s="21">
        <v>360</v>
      </c>
      <c r="AK3" s="21">
        <v>180</v>
      </c>
      <c r="AL3" s="21">
        <v>180</v>
      </c>
      <c r="AM3" s="21">
        <v>90</v>
      </c>
      <c r="AN3" s="21">
        <v>90</v>
      </c>
      <c r="AO3" s="21">
        <v>90</v>
      </c>
      <c r="AP3" s="21">
        <v>250</v>
      </c>
      <c r="AQ3" s="21">
        <v>250</v>
      </c>
      <c r="AR3" s="21">
        <v>250</v>
      </c>
      <c r="AS3" s="21">
        <v>250</v>
      </c>
      <c r="AT3" s="21">
        <v>250</v>
      </c>
      <c r="AU3" s="21">
        <v>250</v>
      </c>
      <c r="AV3" s="21">
        <v>4740</v>
      </c>
      <c r="AW3" t="s" s="13">
        <v>57</v>
      </c>
    </row>
    <row r="4" ht="20.2" customHeight="1">
      <c r="A4" s="22">
        <v>438</v>
      </c>
      <c r="B4" s="23">
        <v>10104</v>
      </c>
      <c r="C4" s="23">
        <v>2607110434</v>
      </c>
      <c r="D4" s="24">
        <v>46209</v>
      </c>
      <c r="E4" t="s" s="25">
        <v>58</v>
      </c>
      <c r="F4" s="26">
        <v>9893249492</v>
      </c>
      <c r="G4" s="27">
        <v>9644036110</v>
      </c>
      <c r="H4" t="s" s="28">
        <v>59</v>
      </c>
      <c r="I4" t="s" s="28">
        <v>52</v>
      </c>
      <c r="J4" t="s" s="28">
        <v>53</v>
      </c>
      <c r="K4" s="29"/>
      <c r="L4" t="s" s="28">
        <v>60</v>
      </c>
      <c r="M4" t="s" s="28">
        <v>61</v>
      </c>
      <c r="N4" s="27">
        <v>462039</v>
      </c>
      <c r="O4" s="30">
        <v>1432</v>
      </c>
      <c r="P4" s="30">
        <v>71.59999999999999</v>
      </c>
      <c r="Q4" s="30">
        <v>0</v>
      </c>
      <c r="R4" s="30">
        <v>0</v>
      </c>
      <c r="S4" s="30">
        <v>1503.6</v>
      </c>
      <c r="T4" s="31"/>
      <c r="U4" t="s" s="28">
        <v>56</v>
      </c>
      <c r="V4" s="32">
        <v>46078.666666666664</v>
      </c>
      <c r="W4" s="33">
        <v>8</v>
      </c>
      <c r="X4" s="34">
        <v>46210</v>
      </c>
      <c r="Y4" s="34" cm="1">
        <f t="array" ref="Y4">X4+4</f>
        <v>46214</v>
      </c>
      <c r="Z4" s="34" cm="1">
        <f t="array" ref="Z4">Y4+4</f>
        <v>46218</v>
      </c>
      <c r="AA4" s="34" cm="1">
        <f t="array" ref="AA4">Z4+3</f>
        <v>46221</v>
      </c>
      <c r="AB4" s="34" cm="1">
        <f t="array" ref="AB4">AA4+4</f>
        <v>46225</v>
      </c>
      <c r="AC4" s="34" cm="1">
        <f t="array" ref="AC4">AB4+3</f>
        <v>46228</v>
      </c>
      <c r="AD4" s="34" cm="1">
        <f t="array" ref="AD4">AC4+4</f>
        <v>46232</v>
      </c>
      <c r="AE4" s="34" cm="1">
        <f t="array" ref="AE4">AD4+3</f>
        <v>46235</v>
      </c>
      <c r="AF4" s="34"/>
      <c r="AG4" s="35">
        <v>500</v>
      </c>
      <c r="AH4" s="35">
        <v>500</v>
      </c>
      <c r="AI4" s="35">
        <v>250</v>
      </c>
      <c r="AJ4" s="35">
        <v>200</v>
      </c>
      <c r="AK4" s="35">
        <v>100</v>
      </c>
      <c r="AL4" s="35">
        <v>100</v>
      </c>
      <c r="AM4" s="35">
        <v>50</v>
      </c>
      <c r="AN4" s="35">
        <v>50</v>
      </c>
      <c r="AO4" s="35">
        <v>50</v>
      </c>
      <c r="AP4" s="35">
        <v>250</v>
      </c>
      <c r="AQ4" s="35">
        <v>250</v>
      </c>
      <c r="AR4" s="35">
        <v>250</v>
      </c>
      <c r="AS4" t="s" s="28">
        <v>62</v>
      </c>
      <c r="AT4" t="s" s="28">
        <v>62</v>
      </c>
      <c r="AU4" t="s" s="28">
        <v>62</v>
      </c>
      <c r="AV4" s="36">
        <v>2550</v>
      </c>
      <c r="AW4" s="35"/>
    </row>
    <row r="5" ht="20.2" customHeight="1">
      <c r="A5" s="23">
        <v>427</v>
      </c>
      <c r="B5" s="23">
        <v>10028</v>
      </c>
      <c r="C5" s="23">
        <v>2606110423</v>
      </c>
      <c r="D5" s="37">
        <v>46202</v>
      </c>
      <c r="E5" t="s" s="25">
        <v>63</v>
      </c>
      <c r="F5" s="26">
        <v>9893976090</v>
      </c>
      <c r="G5" s="27">
        <v>9755687104</v>
      </c>
      <c r="H5" t="s" s="38">
        <v>59</v>
      </c>
      <c r="I5" t="s" s="38">
        <v>52</v>
      </c>
      <c r="J5" t="s" s="38">
        <v>53</v>
      </c>
      <c r="K5" s="39"/>
      <c r="L5" t="s" s="40">
        <v>64</v>
      </c>
      <c r="M5" t="s" s="40">
        <v>65</v>
      </c>
      <c r="N5" s="41">
        <v>462039</v>
      </c>
      <c r="O5" s="30">
        <v>1500</v>
      </c>
      <c r="P5" s="30">
        <v>75</v>
      </c>
      <c r="Q5" s="30">
        <v>0</v>
      </c>
      <c r="R5" s="30">
        <v>1575</v>
      </c>
      <c r="S5" s="30">
        <v>0</v>
      </c>
      <c r="T5" s="42"/>
      <c r="U5" t="s" s="38">
        <v>56</v>
      </c>
      <c r="V5" s="43">
        <v>46056.5</v>
      </c>
      <c r="W5" s="44">
        <v>6</v>
      </c>
      <c r="X5" s="34">
        <v>46211</v>
      </c>
      <c r="Y5" s="45">
        <v>46217</v>
      </c>
      <c r="Z5" s="45">
        <v>46223</v>
      </c>
      <c r="AA5" s="45">
        <v>46228</v>
      </c>
      <c r="AB5" s="45">
        <v>46234</v>
      </c>
      <c r="AC5" s="45">
        <v>46240</v>
      </c>
      <c r="AD5" s="45"/>
      <c r="AE5" s="45"/>
      <c r="AF5" s="45"/>
      <c r="AG5" s="36">
        <v>500</v>
      </c>
      <c r="AH5" s="36">
        <v>500</v>
      </c>
      <c r="AI5" s="36">
        <v>250</v>
      </c>
      <c r="AJ5" s="36">
        <v>200</v>
      </c>
      <c r="AK5" s="36">
        <v>100</v>
      </c>
      <c r="AL5" s="36">
        <v>100</v>
      </c>
      <c r="AM5" s="36">
        <v>50</v>
      </c>
      <c r="AN5" s="36">
        <v>50</v>
      </c>
      <c r="AO5" s="36">
        <v>50</v>
      </c>
      <c r="AP5" s="36">
        <v>250</v>
      </c>
      <c r="AQ5" s="36">
        <v>250</v>
      </c>
      <c r="AR5" s="36">
        <v>250</v>
      </c>
      <c r="AS5" s="36">
        <v>0</v>
      </c>
      <c r="AT5" s="36">
        <v>0</v>
      </c>
      <c r="AU5" s="36">
        <v>0</v>
      </c>
      <c r="AV5" s="36">
        <v>2550</v>
      </c>
      <c r="AW5" s="36"/>
    </row>
    <row r="6" ht="20.2" customHeight="1">
      <c r="A6" s="23">
        <v>439</v>
      </c>
      <c r="B6" s="23">
        <v>10006</v>
      </c>
      <c r="C6" s="23">
        <v>2607110435</v>
      </c>
      <c r="D6" s="37">
        <v>46209</v>
      </c>
      <c r="E6" t="s" s="25">
        <v>66</v>
      </c>
      <c r="F6" s="26">
        <v>9827373479</v>
      </c>
      <c r="G6" s="29"/>
      <c r="H6" t="s" s="28">
        <v>51</v>
      </c>
      <c r="I6" t="s" s="28">
        <v>52</v>
      </c>
      <c r="J6" t="s" s="28">
        <v>53</v>
      </c>
      <c r="K6" s="29"/>
      <c r="L6" t="s" s="28">
        <v>67</v>
      </c>
      <c r="M6" t="s" s="28">
        <v>68</v>
      </c>
      <c r="N6" s="27">
        <v>462026</v>
      </c>
      <c r="O6" s="31">
        <v>1999</v>
      </c>
      <c r="P6" s="31">
        <v>99.95</v>
      </c>
      <c r="Q6" s="31">
        <v>0</v>
      </c>
      <c r="R6" s="31">
        <v>0</v>
      </c>
      <c r="S6" s="31">
        <v>2098.95</v>
      </c>
      <c r="T6" s="46"/>
      <c r="U6" t="s" s="28">
        <v>56</v>
      </c>
      <c r="V6" s="32">
        <v>46030.666666666664</v>
      </c>
      <c r="W6" s="33">
        <v>6</v>
      </c>
      <c r="X6" s="34">
        <v>46215</v>
      </c>
      <c r="Y6" s="34" cm="1">
        <f t="array" ref="Y6">X6+6</f>
        <v>46221</v>
      </c>
      <c r="Z6" s="34" cm="1">
        <f t="array" ref="Z6">Y6+6</f>
        <v>46227</v>
      </c>
      <c r="AA6" s="34" cm="1">
        <f t="array" ref="AA6">Z6+6</f>
        <v>46233</v>
      </c>
      <c r="AB6" s="34" cm="1">
        <f t="array" ref="AB6">AA6+6</f>
        <v>46239</v>
      </c>
      <c r="AC6" s="34" cm="1">
        <f t="array" ref="AC6">AB6+6</f>
        <v>46245</v>
      </c>
      <c r="AD6" s="34"/>
      <c r="AE6" s="34"/>
      <c r="AF6" s="34"/>
      <c r="AG6" s="35">
        <v>900</v>
      </c>
      <c r="AH6" s="35">
        <v>900</v>
      </c>
      <c r="AI6" s="35">
        <v>450</v>
      </c>
      <c r="AJ6" s="35">
        <v>360</v>
      </c>
      <c r="AK6" s="35">
        <v>180</v>
      </c>
      <c r="AL6" s="35">
        <v>180</v>
      </c>
      <c r="AM6" s="35">
        <v>90</v>
      </c>
      <c r="AN6" s="35">
        <v>90</v>
      </c>
      <c r="AO6" s="35">
        <v>90</v>
      </c>
      <c r="AP6" s="35">
        <v>450</v>
      </c>
      <c r="AQ6" s="35">
        <v>450</v>
      </c>
      <c r="AR6" s="35">
        <v>450</v>
      </c>
      <c r="AS6" t="s" s="28">
        <v>62</v>
      </c>
      <c r="AT6" t="s" s="28">
        <v>62</v>
      </c>
      <c r="AU6" t="s" s="28">
        <v>62</v>
      </c>
      <c r="AV6" s="35">
        <v>4590</v>
      </c>
      <c r="AW6" t="s" s="28">
        <v>69</v>
      </c>
    </row>
    <row r="7" ht="20.2" customHeight="1">
      <c r="A7" s="23">
        <v>440</v>
      </c>
      <c r="B7" s="23">
        <v>10188</v>
      </c>
      <c r="C7" s="23">
        <v>2607110436</v>
      </c>
      <c r="D7" s="37">
        <v>46209</v>
      </c>
      <c r="E7" t="s" s="25">
        <v>70</v>
      </c>
      <c r="F7" s="26">
        <v>9407254946</v>
      </c>
      <c r="G7" s="29"/>
      <c r="H7" t="s" s="28">
        <v>71</v>
      </c>
      <c r="I7" t="s" s="28">
        <v>52</v>
      </c>
      <c r="J7" t="s" s="28">
        <v>53</v>
      </c>
      <c r="K7" s="29"/>
      <c r="L7" t="s" s="28">
        <v>72</v>
      </c>
      <c r="M7" t="s" s="28">
        <v>61</v>
      </c>
      <c r="N7" s="27">
        <v>462039</v>
      </c>
      <c r="O7" s="31">
        <v>899</v>
      </c>
      <c r="P7" s="31">
        <v>44.95</v>
      </c>
      <c r="Q7" s="31">
        <v>44.95</v>
      </c>
      <c r="R7" s="31">
        <v>0</v>
      </c>
      <c r="S7" s="31">
        <v>899</v>
      </c>
      <c r="T7" s="29"/>
      <c r="U7" t="s" s="28">
        <v>56</v>
      </c>
      <c r="V7" s="32">
        <v>46080.541666666664</v>
      </c>
      <c r="W7" s="33">
        <v>5</v>
      </c>
      <c r="X7" s="34">
        <v>46214</v>
      </c>
      <c r="Y7" s="34">
        <v>46186</v>
      </c>
      <c r="Z7" s="34">
        <v>46193</v>
      </c>
      <c r="AA7" s="34">
        <v>46200</v>
      </c>
      <c r="AB7" s="34">
        <v>46207</v>
      </c>
      <c r="AC7" s="34"/>
      <c r="AD7" s="34"/>
      <c r="AE7" s="34"/>
      <c r="AF7" s="34"/>
      <c r="AG7" s="35">
        <v>0</v>
      </c>
      <c r="AH7" s="35">
        <v>250</v>
      </c>
      <c r="AI7" s="35">
        <v>0</v>
      </c>
      <c r="AJ7" s="35">
        <v>120</v>
      </c>
      <c r="AK7" s="35">
        <v>60</v>
      </c>
      <c r="AL7" s="35">
        <v>60</v>
      </c>
      <c r="AM7" s="35">
        <v>50</v>
      </c>
      <c r="AN7" s="35">
        <v>50</v>
      </c>
      <c r="AO7" s="35">
        <v>50</v>
      </c>
      <c r="AP7" s="35">
        <v>200</v>
      </c>
      <c r="AQ7" s="35">
        <v>200</v>
      </c>
      <c r="AR7" s="35"/>
      <c r="AS7" t="s" s="28">
        <v>62</v>
      </c>
      <c r="AT7" t="s" s="28">
        <v>62</v>
      </c>
      <c r="AU7" t="s" s="28">
        <v>62</v>
      </c>
      <c r="AV7" s="35">
        <v>1440</v>
      </c>
      <c r="AW7" t="s" s="28">
        <v>73</v>
      </c>
    </row>
    <row r="8" ht="32.2" customHeight="1">
      <c r="A8" s="47">
        <v>385</v>
      </c>
      <c r="B8" s="47">
        <v>10226</v>
      </c>
      <c r="C8" s="47">
        <v>2606110381</v>
      </c>
      <c r="D8" s="48">
        <v>46176</v>
      </c>
      <c r="E8" t="s" s="49">
        <v>74</v>
      </c>
      <c r="F8" s="50">
        <v>9425679679</v>
      </c>
      <c r="G8" s="51">
        <v>9713446410</v>
      </c>
      <c r="H8" t="s" s="52">
        <v>59</v>
      </c>
      <c r="I8" t="s" s="52">
        <v>52</v>
      </c>
      <c r="J8" t="s" s="52">
        <v>53</v>
      </c>
      <c r="K8" s="53"/>
      <c r="L8" t="s" s="52">
        <v>75</v>
      </c>
      <c r="M8" t="s" s="52">
        <v>65</v>
      </c>
      <c r="N8" s="51">
        <v>462039</v>
      </c>
      <c r="O8" s="54">
        <v>1500</v>
      </c>
      <c r="P8" s="54">
        <v>75</v>
      </c>
      <c r="Q8" s="54">
        <v>0</v>
      </c>
      <c r="R8" s="54">
        <v>0</v>
      </c>
      <c r="S8" s="54">
        <v>1500</v>
      </c>
      <c r="T8" s="53"/>
      <c r="U8" t="s" s="52">
        <v>56</v>
      </c>
      <c r="V8" s="55">
        <v>46080.708333333336</v>
      </c>
      <c r="W8" s="51">
        <v>6</v>
      </c>
      <c r="X8" s="56">
        <v>46182</v>
      </c>
      <c r="Y8" s="56">
        <v>46188</v>
      </c>
      <c r="Z8" s="56">
        <v>46193</v>
      </c>
      <c r="AA8" s="56">
        <v>46199</v>
      </c>
      <c r="AB8" s="56">
        <v>46205</v>
      </c>
      <c r="AC8" s="56">
        <v>46211</v>
      </c>
      <c r="AD8" s="56"/>
      <c r="AE8" s="56"/>
      <c r="AF8" s="56"/>
      <c r="AG8" s="57">
        <v>500</v>
      </c>
      <c r="AH8" s="57">
        <v>500</v>
      </c>
      <c r="AI8" s="57">
        <v>250</v>
      </c>
      <c r="AJ8" s="57">
        <v>200</v>
      </c>
      <c r="AK8" s="57">
        <v>100</v>
      </c>
      <c r="AL8" s="57">
        <v>100</v>
      </c>
      <c r="AM8" s="57">
        <v>50</v>
      </c>
      <c r="AN8" s="57">
        <v>50</v>
      </c>
      <c r="AO8" s="57">
        <v>50</v>
      </c>
      <c r="AP8" s="57">
        <v>250</v>
      </c>
      <c r="AQ8" s="57">
        <v>250</v>
      </c>
      <c r="AR8" s="57">
        <v>250</v>
      </c>
      <c r="AS8" t="s" s="52">
        <v>62</v>
      </c>
      <c r="AT8" t="s" s="52">
        <v>62</v>
      </c>
      <c r="AU8" t="s" s="52">
        <v>62</v>
      </c>
      <c r="AV8" s="57">
        <v>2550</v>
      </c>
      <c r="AW8" t="s" s="52">
        <v>76</v>
      </c>
    </row>
    <row r="9" ht="20.2" customHeight="1">
      <c r="A9" s="47">
        <v>386</v>
      </c>
      <c r="B9" s="47">
        <v>10232</v>
      </c>
      <c r="C9" s="47">
        <v>2606110382</v>
      </c>
      <c r="D9" s="48">
        <v>46176</v>
      </c>
      <c r="E9" t="s" s="49">
        <v>77</v>
      </c>
      <c r="F9" s="58">
        <v>7987258332</v>
      </c>
      <c r="G9" s="53"/>
      <c r="H9" t="s" s="52">
        <v>59</v>
      </c>
      <c r="I9" t="s" s="52">
        <v>52</v>
      </c>
      <c r="J9" t="s" s="52">
        <v>53</v>
      </c>
      <c r="K9" s="53"/>
      <c r="L9" t="s" s="52">
        <v>78</v>
      </c>
      <c r="M9" t="s" s="52">
        <v>61</v>
      </c>
      <c r="N9" s="51">
        <v>462039</v>
      </c>
      <c r="O9" s="54">
        <v>1500</v>
      </c>
      <c r="P9" s="54">
        <v>75</v>
      </c>
      <c r="Q9" s="54">
        <v>0</v>
      </c>
      <c r="R9" s="54">
        <v>0</v>
      </c>
      <c r="S9" s="54">
        <v>1575</v>
      </c>
      <c r="T9" s="53"/>
      <c r="U9" t="s" s="52">
        <v>56</v>
      </c>
      <c r="V9" s="55">
        <v>46080.541666666664</v>
      </c>
      <c r="W9" s="51">
        <v>6</v>
      </c>
      <c r="X9" s="56">
        <v>46181</v>
      </c>
      <c r="Y9" s="56">
        <v>46186</v>
      </c>
      <c r="Z9" s="56">
        <v>46192</v>
      </c>
      <c r="AA9" s="56">
        <v>46198</v>
      </c>
      <c r="AB9" s="56">
        <v>46204</v>
      </c>
      <c r="AC9" s="56">
        <v>46210</v>
      </c>
      <c r="AD9" s="56"/>
      <c r="AE9" s="56"/>
      <c r="AF9" s="56"/>
      <c r="AG9" s="57">
        <v>500</v>
      </c>
      <c r="AH9" s="57">
        <v>500</v>
      </c>
      <c r="AI9" s="57">
        <v>250</v>
      </c>
      <c r="AJ9" s="57">
        <v>200</v>
      </c>
      <c r="AK9" s="57">
        <v>100</v>
      </c>
      <c r="AL9" s="57">
        <v>100</v>
      </c>
      <c r="AM9" s="57">
        <v>50</v>
      </c>
      <c r="AN9" s="57">
        <v>50</v>
      </c>
      <c r="AO9" s="57">
        <v>50</v>
      </c>
      <c r="AP9" s="57">
        <v>250</v>
      </c>
      <c r="AQ9" s="57">
        <v>250</v>
      </c>
      <c r="AR9" s="57">
        <v>250</v>
      </c>
      <c r="AS9" t="s" s="52">
        <v>62</v>
      </c>
      <c r="AT9" t="s" s="52">
        <v>62</v>
      </c>
      <c r="AU9" t="s" s="52">
        <v>62</v>
      </c>
      <c r="AV9" s="59">
        <v>2550</v>
      </c>
      <c r="AW9" t="s" s="52">
        <v>79</v>
      </c>
    </row>
    <row r="10" ht="20.2" customHeight="1">
      <c r="A10" s="47">
        <v>387</v>
      </c>
      <c r="B10" s="47">
        <v>10021</v>
      </c>
      <c r="C10" s="47">
        <v>2606110383</v>
      </c>
      <c r="D10" s="48">
        <v>46176</v>
      </c>
      <c r="E10" t="s" s="49">
        <v>80</v>
      </c>
      <c r="F10" s="50">
        <v>9425016471</v>
      </c>
      <c r="G10" s="53"/>
      <c r="H10" t="s" s="52">
        <v>71</v>
      </c>
      <c r="I10" t="s" s="52">
        <v>52</v>
      </c>
      <c r="J10" t="s" s="52">
        <v>53</v>
      </c>
      <c r="K10" t="s" s="52">
        <v>81</v>
      </c>
      <c r="L10" t="s" s="52">
        <v>82</v>
      </c>
      <c r="M10" t="s" s="52">
        <v>65</v>
      </c>
      <c r="N10" s="51">
        <v>462039</v>
      </c>
      <c r="O10" s="54">
        <v>649</v>
      </c>
      <c r="P10" s="54">
        <v>32.45</v>
      </c>
      <c r="Q10" s="54">
        <v>0</v>
      </c>
      <c r="R10" s="54">
        <v>0</v>
      </c>
      <c r="S10" s="54">
        <v>681.45</v>
      </c>
      <c r="T10" s="53"/>
      <c r="U10" t="s" s="52">
        <v>56</v>
      </c>
      <c r="V10" s="55">
        <v>46052.458333333336</v>
      </c>
      <c r="W10" s="51">
        <v>5</v>
      </c>
      <c r="X10" s="56">
        <v>46182</v>
      </c>
      <c r="Y10" s="56">
        <v>46189</v>
      </c>
      <c r="Z10" s="56">
        <v>46196</v>
      </c>
      <c r="AA10" s="56">
        <v>46203</v>
      </c>
      <c r="AB10" s="56">
        <v>46210</v>
      </c>
      <c r="AC10" s="56"/>
      <c r="AD10" s="56"/>
      <c r="AE10" s="56"/>
      <c r="AF10" s="56"/>
      <c r="AG10" s="57">
        <v>250</v>
      </c>
      <c r="AH10" s="57">
        <v>250</v>
      </c>
      <c r="AI10" s="57">
        <v>150</v>
      </c>
      <c r="AJ10" s="57">
        <v>120</v>
      </c>
      <c r="AK10" s="57">
        <v>60</v>
      </c>
      <c r="AL10" s="57">
        <v>60</v>
      </c>
      <c r="AM10" s="57">
        <v>50</v>
      </c>
      <c r="AN10" s="57">
        <v>50</v>
      </c>
      <c r="AO10" s="57">
        <v>50</v>
      </c>
      <c r="AP10" s="57">
        <v>200</v>
      </c>
      <c r="AQ10" s="57">
        <v>200</v>
      </c>
      <c r="AR10" t="s" s="52">
        <v>62</v>
      </c>
      <c r="AS10" t="s" s="52">
        <v>62</v>
      </c>
      <c r="AT10" t="s" s="52">
        <v>62</v>
      </c>
      <c r="AU10" t="s" s="52">
        <v>62</v>
      </c>
      <c r="AV10" s="59">
        <v>1440</v>
      </c>
      <c r="AW10" s="57"/>
    </row>
    <row r="11" ht="20.2" customHeight="1">
      <c r="A11" s="60">
        <v>388</v>
      </c>
      <c r="B11" s="47">
        <v>10003</v>
      </c>
      <c r="C11" s="47">
        <v>2606110384</v>
      </c>
      <c r="D11" s="61">
        <v>46176</v>
      </c>
      <c r="E11" t="s" s="49">
        <v>83</v>
      </c>
      <c r="F11" s="50">
        <v>9111003674</v>
      </c>
      <c r="G11" s="53"/>
      <c r="H11" t="s" s="52">
        <v>51</v>
      </c>
      <c r="I11" t="s" s="52">
        <v>52</v>
      </c>
      <c r="J11" t="s" s="52">
        <v>53</v>
      </c>
      <c r="K11" t="s" s="52">
        <v>84</v>
      </c>
      <c r="L11" t="s" s="52">
        <v>85</v>
      </c>
      <c r="M11" t="s" s="52">
        <v>86</v>
      </c>
      <c r="N11" s="51">
        <v>462039</v>
      </c>
      <c r="O11" s="54">
        <v>1999</v>
      </c>
      <c r="P11" s="54">
        <v>99.95</v>
      </c>
      <c r="Q11" s="54">
        <v>0</v>
      </c>
      <c r="R11" s="54">
        <v>0</v>
      </c>
      <c r="S11" s="54">
        <v>2098.95</v>
      </c>
      <c r="T11" s="62"/>
      <c r="U11" t="s" s="52">
        <v>56</v>
      </c>
      <c r="V11" s="55">
        <v>46030.458333333336</v>
      </c>
      <c r="W11" s="51">
        <v>6</v>
      </c>
      <c r="X11" s="56">
        <v>46182</v>
      </c>
      <c r="Y11" s="56">
        <v>46188</v>
      </c>
      <c r="Z11" s="56">
        <v>46196</v>
      </c>
      <c r="AA11" s="56">
        <v>46202</v>
      </c>
      <c r="AB11" s="56">
        <v>46207</v>
      </c>
      <c r="AC11" s="56">
        <v>46213</v>
      </c>
      <c r="AD11" s="56"/>
      <c r="AE11" s="56"/>
      <c r="AF11" s="56"/>
      <c r="AG11" s="59">
        <v>900</v>
      </c>
      <c r="AH11" s="59">
        <v>900</v>
      </c>
      <c r="AI11" s="59">
        <v>450</v>
      </c>
      <c r="AJ11" s="59">
        <v>360</v>
      </c>
      <c r="AK11" s="59">
        <v>180</v>
      </c>
      <c r="AL11" s="59">
        <v>180</v>
      </c>
      <c r="AM11" s="59">
        <v>90</v>
      </c>
      <c r="AN11" s="59">
        <v>90</v>
      </c>
      <c r="AO11" s="59">
        <v>90</v>
      </c>
      <c r="AP11" s="59">
        <v>450</v>
      </c>
      <c r="AQ11" s="59">
        <v>450</v>
      </c>
      <c r="AR11" s="59">
        <v>450</v>
      </c>
      <c r="AS11" t="s" s="63">
        <v>62</v>
      </c>
      <c r="AT11" t="s" s="63">
        <v>62</v>
      </c>
      <c r="AU11" t="s" s="63">
        <v>62</v>
      </c>
      <c r="AV11" s="59">
        <v>4590</v>
      </c>
      <c r="AW11" t="s" s="63">
        <v>87</v>
      </c>
    </row>
    <row r="12" ht="20.2" customHeight="1">
      <c r="A12" s="60">
        <v>389</v>
      </c>
      <c r="B12" s="47">
        <v>10046</v>
      </c>
      <c r="C12" s="47">
        <v>2606110385</v>
      </c>
      <c r="D12" s="48">
        <v>46176</v>
      </c>
      <c r="E12" t="s" s="49">
        <v>88</v>
      </c>
      <c r="F12" s="50">
        <v>9300731399</v>
      </c>
      <c r="G12" s="51">
        <v>8458811110</v>
      </c>
      <c r="H12" t="s" s="63">
        <v>51</v>
      </c>
      <c r="I12" t="s" s="63">
        <v>89</v>
      </c>
      <c r="J12" t="s" s="63">
        <v>53</v>
      </c>
      <c r="K12" s="64"/>
      <c r="L12" t="s" s="65">
        <v>90</v>
      </c>
      <c r="M12" t="s" s="65">
        <v>91</v>
      </c>
      <c r="N12" s="66">
        <v>462043</v>
      </c>
      <c r="O12" s="67">
        <v>2500</v>
      </c>
      <c r="P12" s="67">
        <v>125</v>
      </c>
      <c r="Q12" s="67">
        <v>125</v>
      </c>
      <c r="R12" s="67">
        <v>0</v>
      </c>
      <c r="S12" s="67">
        <v>2500</v>
      </c>
      <c r="T12" s="62"/>
      <c r="U12" t="s" s="63">
        <v>56</v>
      </c>
      <c r="V12" s="68">
        <v>46056.458333333336</v>
      </c>
      <c r="W12" s="69">
        <v>6</v>
      </c>
      <c r="X12" s="70">
        <v>46181</v>
      </c>
      <c r="Y12" s="70">
        <v>46186</v>
      </c>
      <c r="Z12" s="70">
        <v>46192</v>
      </c>
      <c r="AA12" s="70">
        <v>46198</v>
      </c>
      <c r="AB12" s="70">
        <v>46204</v>
      </c>
      <c r="AC12" s="70">
        <v>46210</v>
      </c>
      <c r="AD12" s="70"/>
      <c r="AE12" s="70"/>
      <c r="AF12" s="70"/>
      <c r="AG12" s="59">
        <v>900</v>
      </c>
      <c r="AH12" s="59">
        <v>900</v>
      </c>
      <c r="AI12" s="59">
        <v>450</v>
      </c>
      <c r="AJ12" s="59">
        <v>360</v>
      </c>
      <c r="AK12" s="59">
        <v>180</v>
      </c>
      <c r="AL12" s="59">
        <v>180</v>
      </c>
      <c r="AM12" s="59">
        <v>90</v>
      </c>
      <c r="AN12" s="59">
        <v>90</v>
      </c>
      <c r="AO12" s="59">
        <v>90</v>
      </c>
      <c r="AP12" s="59">
        <v>450</v>
      </c>
      <c r="AQ12" s="59">
        <v>450</v>
      </c>
      <c r="AR12" s="59">
        <v>450</v>
      </c>
      <c r="AS12" t="s" s="63">
        <v>62</v>
      </c>
      <c r="AT12" t="s" s="63">
        <v>62</v>
      </c>
      <c r="AU12" t="s" s="63">
        <v>62</v>
      </c>
      <c r="AV12" s="59">
        <v>4590</v>
      </c>
      <c r="AW12" s="59"/>
    </row>
    <row r="13" ht="20.2" customHeight="1">
      <c r="A13" s="60">
        <v>390</v>
      </c>
      <c r="B13" s="47">
        <v>10007</v>
      </c>
      <c r="C13" s="47">
        <v>2606110386</v>
      </c>
      <c r="D13" s="48">
        <v>46176</v>
      </c>
      <c r="E13" t="s" s="49">
        <v>92</v>
      </c>
      <c r="F13" s="50">
        <v>9713922255</v>
      </c>
      <c r="G13" s="53"/>
      <c r="H13" t="s" s="52">
        <v>51</v>
      </c>
      <c r="I13" t="s" s="52">
        <v>52</v>
      </c>
      <c r="J13" t="s" s="52">
        <v>53</v>
      </c>
      <c r="K13" s="53"/>
      <c r="L13" t="s" s="52">
        <v>93</v>
      </c>
      <c r="M13" t="s" s="52">
        <v>86</v>
      </c>
      <c r="N13" s="51">
        <v>462039</v>
      </c>
      <c r="O13" s="54">
        <v>2499</v>
      </c>
      <c r="P13" s="54">
        <v>124.95</v>
      </c>
      <c r="Q13" s="54">
        <v>0</v>
      </c>
      <c r="R13" s="54">
        <v>0</v>
      </c>
      <c r="S13" s="54">
        <v>2623.95</v>
      </c>
      <c r="T13" s="54"/>
      <c r="U13" t="s" s="52">
        <v>56</v>
      </c>
      <c r="V13" s="55">
        <v>46031.708333333336</v>
      </c>
      <c r="W13" s="51">
        <v>6</v>
      </c>
      <c r="X13" s="56">
        <v>46184</v>
      </c>
      <c r="Y13" s="56">
        <v>46190</v>
      </c>
      <c r="Z13" s="56">
        <v>46196</v>
      </c>
      <c r="AA13" s="56">
        <v>46202</v>
      </c>
      <c r="AB13" s="56">
        <v>46207</v>
      </c>
      <c r="AC13" s="56">
        <v>46213</v>
      </c>
      <c r="AD13" s="56"/>
      <c r="AE13" s="56"/>
      <c r="AF13" s="56"/>
      <c r="AG13" s="57">
        <v>900</v>
      </c>
      <c r="AH13" s="57">
        <v>900</v>
      </c>
      <c r="AI13" s="57">
        <v>450</v>
      </c>
      <c r="AJ13" s="57">
        <v>360</v>
      </c>
      <c r="AK13" s="57">
        <v>180</v>
      </c>
      <c r="AL13" s="57">
        <v>180</v>
      </c>
      <c r="AM13" s="57">
        <v>90</v>
      </c>
      <c r="AN13" s="57">
        <v>90</v>
      </c>
      <c r="AO13" s="57">
        <v>90</v>
      </c>
      <c r="AP13" s="57">
        <v>450</v>
      </c>
      <c r="AQ13" s="57">
        <v>450</v>
      </c>
      <c r="AR13" s="57">
        <v>450</v>
      </c>
      <c r="AS13" t="s" s="52">
        <v>62</v>
      </c>
      <c r="AT13" t="s" s="52">
        <v>62</v>
      </c>
      <c r="AU13" t="s" s="52">
        <v>62</v>
      </c>
      <c r="AV13" s="57">
        <v>4590</v>
      </c>
      <c r="AW13" t="s" s="52">
        <v>94</v>
      </c>
    </row>
    <row r="14" ht="20.2" customHeight="1">
      <c r="A14" s="60">
        <v>391</v>
      </c>
      <c r="B14" s="47">
        <v>10056</v>
      </c>
      <c r="C14" s="47">
        <v>2606110387</v>
      </c>
      <c r="D14" s="48">
        <v>46176</v>
      </c>
      <c r="E14" t="s" s="49">
        <v>95</v>
      </c>
      <c r="F14" s="50">
        <v>9755993841</v>
      </c>
      <c r="G14" s="53"/>
      <c r="H14" t="s" s="52">
        <v>59</v>
      </c>
      <c r="I14" t="s" s="52">
        <v>52</v>
      </c>
      <c r="J14" t="s" s="52">
        <v>53</v>
      </c>
      <c r="K14" s="53"/>
      <c r="L14" t="s" s="52">
        <v>96</v>
      </c>
      <c r="M14" t="s" s="52">
        <v>55</v>
      </c>
      <c r="N14" s="51">
        <v>462039</v>
      </c>
      <c r="O14" s="54">
        <v>2000</v>
      </c>
      <c r="P14" s="54">
        <v>100</v>
      </c>
      <c r="Q14" s="54">
        <v>0</v>
      </c>
      <c r="R14" s="54">
        <v>0</v>
      </c>
      <c r="S14" s="54">
        <v>2100</v>
      </c>
      <c r="T14" s="54"/>
      <c r="U14" t="s" s="52">
        <v>56</v>
      </c>
      <c r="V14" s="55">
        <v>46078.541666666664</v>
      </c>
      <c r="W14" s="51">
        <v>9</v>
      </c>
      <c r="X14" s="56">
        <v>46189</v>
      </c>
      <c r="Y14" s="56">
        <v>46192</v>
      </c>
      <c r="Z14" s="56">
        <v>46196</v>
      </c>
      <c r="AA14" s="56">
        <v>46200</v>
      </c>
      <c r="AB14" s="56">
        <v>46204</v>
      </c>
      <c r="AC14" s="56">
        <v>46207</v>
      </c>
      <c r="AD14" s="56">
        <v>46211</v>
      </c>
      <c r="AE14" s="56">
        <v>46214</v>
      </c>
      <c r="AF14" s="56">
        <v>46218</v>
      </c>
      <c r="AG14" s="57">
        <v>750</v>
      </c>
      <c r="AH14" s="57">
        <v>500</v>
      </c>
      <c r="AI14" s="57">
        <v>250</v>
      </c>
      <c r="AJ14" s="57">
        <v>200</v>
      </c>
      <c r="AK14" s="57">
        <v>0</v>
      </c>
      <c r="AL14" s="57">
        <v>0</v>
      </c>
      <c r="AM14" s="57">
        <v>100</v>
      </c>
      <c r="AN14" s="57">
        <v>100</v>
      </c>
      <c r="AO14" s="57">
        <v>50</v>
      </c>
      <c r="AP14" s="57">
        <v>500</v>
      </c>
      <c r="AQ14" s="57">
        <v>500</v>
      </c>
      <c r="AR14" s="57">
        <v>250</v>
      </c>
      <c r="AS14" s="57">
        <v>250</v>
      </c>
      <c r="AT14" t="s" s="52">
        <v>62</v>
      </c>
      <c r="AU14" t="s" s="52">
        <v>62</v>
      </c>
      <c r="AV14" s="57">
        <v>2550</v>
      </c>
      <c r="AW14" t="s" s="52">
        <v>97</v>
      </c>
    </row>
    <row r="15" ht="20.2" customHeight="1">
      <c r="A15" s="60">
        <v>392</v>
      </c>
      <c r="B15" s="47">
        <v>10069</v>
      </c>
      <c r="C15" s="47">
        <v>2606110388</v>
      </c>
      <c r="D15" s="61">
        <v>46181</v>
      </c>
      <c r="E15" t="s" s="49">
        <v>98</v>
      </c>
      <c r="F15" s="50">
        <v>9755847474</v>
      </c>
      <c r="G15" s="53"/>
      <c r="H15" t="s" s="52">
        <v>59</v>
      </c>
      <c r="I15" t="s" s="52">
        <v>52</v>
      </c>
      <c r="J15" t="s" s="52">
        <v>53</v>
      </c>
      <c r="K15" s="53"/>
      <c r="L15" t="s" s="52">
        <v>99</v>
      </c>
      <c r="M15" t="s" s="52">
        <v>100</v>
      </c>
      <c r="N15" s="51">
        <v>462026</v>
      </c>
      <c r="O15" s="67">
        <v>999</v>
      </c>
      <c r="P15" s="67">
        <v>49.95</v>
      </c>
      <c r="Q15" s="67">
        <v>0</v>
      </c>
      <c r="R15" s="67">
        <v>0</v>
      </c>
      <c r="S15" s="67">
        <v>1048.95</v>
      </c>
      <c r="T15" s="54"/>
      <c r="U15" t="s" s="52">
        <v>56</v>
      </c>
      <c r="V15" s="55">
        <v>46072.541666666664</v>
      </c>
      <c r="W15" s="51">
        <v>6</v>
      </c>
      <c r="X15" s="56">
        <v>46182</v>
      </c>
      <c r="Y15" s="56">
        <v>46188</v>
      </c>
      <c r="Z15" s="56">
        <v>46193</v>
      </c>
      <c r="AA15" s="56">
        <v>46199</v>
      </c>
      <c r="AB15" s="56">
        <v>46205</v>
      </c>
      <c r="AC15" s="56">
        <v>46211</v>
      </c>
      <c r="AD15" s="56"/>
      <c r="AE15" s="56"/>
      <c r="AF15" s="56"/>
      <c r="AG15" s="57">
        <v>500</v>
      </c>
      <c r="AH15" s="57">
        <v>500</v>
      </c>
      <c r="AI15" s="57">
        <v>250</v>
      </c>
      <c r="AJ15" s="57">
        <v>200</v>
      </c>
      <c r="AK15" s="57">
        <v>100</v>
      </c>
      <c r="AL15" s="57">
        <v>100</v>
      </c>
      <c r="AM15" s="57">
        <v>50</v>
      </c>
      <c r="AN15" s="57">
        <v>50</v>
      </c>
      <c r="AO15" s="57">
        <v>50</v>
      </c>
      <c r="AP15" s="57">
        <v>250</v>
      </c>
      <c r="AQ15" s="57">
        <v>250</v>
      </c>
      <c r="AR15" s="57">
        <v>250</v>
      </c>
      <c r="AS15" t="s" s="52">
        <v>62</v>
      </c>
      <c r="AT15" t="s" s="52">
        <v>62</v>
      </c>
      <c r="AU15" t="s" s="52">
        <v>62</v>
      </c>
      <c r="AV15" s="59">
        <v>2550</v>
      </c>
      <c r="AW15" s="53"/>
    </row>
    <row r="16" ht="20.2" customHeight="1">
      <c r="A16" s="60">
        <v>393</v>
      </c>
      <c r="B16" s="47">
        <v>10022</v>
      </c>
      <c r="C16" s="60">
        <v>2606110389</v>
      </c>
      <c r="D16" s="61">
        <v>46181</v>
      </c>
      <c r="E16" t="s" s="49">
        <v>101</v>
      </c>
      <c r="F16" s="50">
        <v>9826037006</v>
      </c>
      <c r="G16" s="51">
        <v>8319704541</v>
      </c>
      <c r="H16" t="s" s="52">
        <v>51</v>
      </c>
      <c r="I16" t="s" s="52">
        <v>52</v>
      </c>
      <c r="J16" t="s" s="52">
        <v>53</v>
      </c>
      <c r="K16" s="53"/>
      <c r="L16" t="s" s="52">
        <v>102</v>
      </c>
      <c r="M16" t="s" s="52">
        <v>103</v>
      </c>
      <c r="N16" s="51">
        <v>462026</v>
      </c>
      <c r="O16" s="54">
        <v>2499</v>
      </c>
      <c r="P16" s="54">
        <v>124.95</v>
      </c>
      <c r="Q16" s="54">
        <v>0</v>
      </c>
      <c r="R16" s="54">
        <v>0</v>
      </c>
      <c r="S16" s="54">
        <v>2623.95</v>
      </c>
      <c r="T16" s="62"/>
      <c r="U16" t="s" s="52">
        <v>56</v>
      </c>
      <c r="V16" s="55">
        <v>46051.5</v>
      </c>
      <c r="W16" s="51">
        <v>6</v>
      </c>
      <c r="X16" s="56">
        <v>46182</v>
      </c>
      <c r="Y16" s="56">
        <v>46188</v>
      </c>
      <c r="Z16" s="56">
        <v>46193</v>
      </c>
      <c r="AA16" s="56">
        <v>46199</v>
      </c>
      <c r="AB16" s="56">
        <v>46205</v>
      </c>
      <c r="AC16" s="56">
        <v>46211</v>
      </c>
      <c r="AD16" s="56"/>
      <c r="AE16" s="56"/>
      <c r="AF16" s="56"/>
      <c r="AG16" s="59">
        <v>900</v>
      </c>
      <c r="AH16" s="59">
        <v>900</v>
      </c>
      <c r="AI16" s="59">
        <v>450</v>
      </c>
      <c r="AJ16" s="59">
        <v>360</v>
      </c>
      <c r="AK16" s="59">
        <v>180</v>
      </c>
      <c r="AL16" s="59">
        <v>180</v>
      </c>
      <c r="AM16" s="59">
        <v>90</v>
      </c>
      <c r="AN16" s="59">
        <v>90</v>
      </c>
      <c r="AO16" s="59">
        <v>90</v>
      </c>
      <c r="AP16" s="59">
        <v>450</v>
      </c>
      <c r="AQ16" s="59">
        <v>450</v>
      </c>
      <c r="AR16" s="59">
        <v>450</v>
      </c>
      <c r="AS16" t="s" s="63">
        <v>62</v>
      </c>
      <c r="AT16" t="s" s="63">
        <v>62</v>
      </c>
      <c r="AU16" t="s" s="63">
        <v>62</v>
      </c>
      <c r="AV16" s="59">
        <v>4590</v>
      </c>
      <c r="AW16" s="59"/>
    </row>
    <row r="17" ht="20.2" customHeight="1">
      <c r="A17" s="71">
        <v>394</v>
      </c>
      <c r="B17" s="71">
        <v>10283</v>
      </c>
      <c r="C17" s="71">
        <v>2606110390</v>
      </c>
      <c r="D17" s="72">
        <v>46182</v>
      </c>
      <c r="E17" t="s" s="73">
        <v>104</v>
      </c>
      <c r="F17" s="74">
        <v>7987953075</v>
      </c>
      <c r="G17" s="75"/>
      <c r="H17" t="s" s="76">
        <v>59</v>
      </c>
      <c r="I17" t="s" s="76">
        <v>89</v>
      </c>
      <c r="J17" t="s" s="76">
        <v>53</v>
      </c>
      <c r="K17" s="75"/>
      <c r="L17" t="s" s="76">
        <v>105</v>
      </c>
      <c r="M17" t="s" s="76">
        <v>61</v>
      </c>
      <c r="N17" s="77">
        <v>462039</v>
      </c>
      <c r="O17" s="78">
        <v>1500</v>
      </c>
      <c r="P17" s="78">
        <v>75</v>
      </c>
      <c r="Q17" s="78">
        <v>0</v>
      </c>
      <c r="R17" s="78">
        <v>0</v>
      </c>
      <c r="S17" s="78">
        <v>1500</v>
      </c>
      <c r="T17" s="75"/>
      <c r="U17" t="s" s="76">
        <v>56</v>
      </c>
      <c r="V17" s="79">
        <v>46080.708333333336</v>
      </c>
      <c r="W17" s="77">
        <v>6</v>
      </c>
      <c r="X17" s="80">
        <v>46182</v>
      </c>
      <c r="Y17" s="80">
        <v>46188</v>
      </c>
      <c r="Z17" s="80">
        <v>46193</v>
      </c>
      <c r="AA17" s="80">
        <v>46202</v>
      </c>
      <c r="AB17" s="80">
        <v>46207</v>
      </c>
      <c r="AC17" s="80">
        <v>46213</v>
      </c>
      <c r="AD17" s="80"/>
      <c r="AE17" s="80"/>
      <c r="AF17" s="80"/>
      <c r="AG17" s="81">
        <v>500</v>
      </c>
      <c r="AH17" s="81">
        <v>500</v>
      </c>
      <c r="AI17" s="81">
        <v>250</v>
      </c>
      <c r="AJ17" s="81">
        <v>200</v>
      </c>
      <c r="AK17" s="81">
        <v>100</v>
      </c>
      <c r="AL17" s="81">
        <v>100</v>
      </c>
      <c r="AM17" s="81">
        <v>50</v>
      </c>
      <c r="AN17" s="81">
        <v>50</v>
      </c>
      <c r="AO17" s="81">
        <v>50</v>
      </c>
      <c r="AP17" s="81">
        <v>250</v>
      </c>
      <c r="AQ17" s="81">
        <v>250</v>
      </c>
      <c r="AR17" s="81">
        <v>250</v>
      </c>
      <c r="AS17" t="s" s="76">
        <v>62</v>
      </c>
      <c r="AT17" t="s" s="76">
        <v>62</v>
      </c>
      <c r="AU17" t="s" s="76">
        <v>62</v>
      </c>
      <c r="AV17" s="82">
        <v>2550</v>
      </c>
      <c r="AW17" s="75"/>
    </row>
    <row r="18" ht="20.2" customHeight="1">
      <c r="A18" s="71">
        <v>395</v>
      </c>
      <c r="B18" s="71">
        <v>10284</v>
      </c>
      <c r="C18" s="71">
        <v>2606110391</v>
      </c>
      <c r="D18" s="72">
        <v>46182</v>
      </c>
      <c r="E18" t="s" s="73">
        <v>106</v>
      </c>
      <c r="F18" s="74">
        <v>9993369944</v>
      </c>
      <c r="G18" s="75"/>
      <c r="H18" t="s" s="76">
        <v>107</v>
      </c>
      <c r="I18" t="s" s="76">
        <v>89</v>
      </c>
      <c r="J18" t="s" s="76">
        <v>53</v>
      </c>
      <c r="K18" s="75"/>
      <c r="L18" t="s" s="76">
        <v>108</v>
      </c>
      <c r="M18" t="s" s="76">
        <v>109</v>
      </c>
      <c r="N18" s="77">
        <v>462026</v>
      </c>
      <c r="O18" s="78">
        <v>999</v>
      </c>
      <c r="P18" s="78">
        <v>49.95</v>
      </c>
      <c r="Q18" s="78">
        <v>0</v>
      </c>
      <c r="R18" s="78">
        <v>0</v>
      </c>
      <c r="S18" s="78">
        <v>1048.95</v>
      </c>
      <c r="T18" s="78"/>
      <c r="U18" t="s" s="76">
        <v>56</v>
      </c>
      <c r="V18" s="79">
        <v>46072.708333333336</v>
      </c>
      <c r="W18" s="83">
        <v>5</v>
      </c>
      <c r="X18" s="80">
        <v>46182</v>
      </c>
      <c r="Y18" s="80">
        <v>46189</v>
      </c>
      <c r="Z18" s="80">
        <v>46196</v>
      </c>
      <c r="AA18" s="80">
        <v>46203</v>
      </c>
      <c r="AB18" s="80">
        <v>46210</v>
      </c>
      <c r="AC18" s="80"/>
      <c r="AD18" s="80"/>
      <c r="AE18" s="80"/>
      <c r="AF18" s="80"/>
      <c r="AG18" s="81">
        <v>250</v>
      </c>
      <c r="AH18" s="81">
        <v>750</v>
      </c>
      <c r="AI18" s="81">
        <v>350</v>
      </c>
      <c r="AJ18" s="81">
        <v>250</v>
      </c>
      <c r="AK18" s="81">
        <v>100</v>
      </c>
      <c r="AL18" s="81">
        <v>100</v>
      </c>
      <c r="AM18" s="81">
        <v>50</v>
      </c>
      <c r="AN18" s="81">
        <v>50</v>
      </c>
      <c r="AO18" s="81">
        <v>50</v>
      </c>
      <c r="AP18" s="81">
        <v>200</v>
      </c>
      <c r="AQ18" s="81">
        <v>200</v>
      </c>
      <c r="AR18" s="81">
        <v>200</v>
      </c>
      <c r="AS18" s="81">
        <v>200</v>
      </c>
      <c r="AT18" t="s" s="76">
        <v>62</v>
      </c>
      <c r="AU18" t="s" s="76">
        <v>62</v>
      </c>
      <c r="AV18" s="82">
        <v>2750</v>
      </c>
      <c r="AW18" s="75"/>
    </row>
    <row r="19" ht="20.2" customHeight="1">
      <c r="A19" s="84">
        <v>396</v>
      </c>
      <c r="B19" s="84">
        <v>10285</v>
      </c>
      <c r="C19" s="84">
        <v>2606110392</v>
      </c>
      <c r="D19" s="85">
        <v>46182</v>
      </c>
      <c r="E19" t="s" s="86">
        <v>110</v>
      </c>
      <c r="F19" s="87">
        <v>9179927187</v>
      </c>
      <c r="G19" s="88"/>
      <c r="H19" t="s" s="89">
        <v>51</v>
      </c>
      <c r="I19" t="s" s="89">
        <v>111</v>
      </c>
      <c r="J19" t="s" s="89">
        <v>53</v>
      </c>
      <c r="K19" s="88"/>
      <c r="L19" t="s" s="89">
        <v>112</v>
      </c>
      <c r="M19" t="s" s="89">
        <v>113</v>
      </c>
      <c r="N19" s="90">
        <v>462039</v>
      </c>
      <c r="O19" s="91">
        <v>2499</v>
      </c>
      <c r="P19" s="91">
        <v>124.95</v>
      </c>
      <c r="Q19" s="91">
        <v>0</v>
      </c>
      <c r="R19" s="91">
        <v>0</v>
      </c>
      <c r="S19" s="91">
        <v>2623.95</v>
      </c>
      <c r="T19" s="91"/>
      <c r="U19" t="s" s="89">
        <v>56</v>
      </c>
      <c r="V19" s="92">
        <v>46031.708333333336</v>
      </c>
      <c r="W19" s="93">
        <v>6</v>
      </c>
      <c r="X19" s="94">
        <v>46189</v>
      </c>
      <c r="Y19" s="94">
        <v>46195</v>
      </c>
      <c r="Z19" s="94">
        <v>46200</v>
      </c>
      <c r="AA19" s="94">
        <v>46207</v>
      </c>
      <c r="AB19" s="94">
        <v>46213</v>
      </c>
      <c r="AC19" s="94">
        <v>46219</v>
      </c>
      <c r="AD19" s="94"/>
      <c r="AE19" s="94"/>
      <c r="AF19" s="94"/>
      <c r="AG19" s="95">
        <v>900</v>
      </c>
      <c r="AH19" s="95">
        <v>900</v>
      </c>
      <c r="AI19" s="95">
        <v>450</v>
      </c>
      <c r="AJ19" s="95">
        <v>360</v>
      </c>
      <c r="AK19" s="95">
        <v>180</v>
      </c>
      <c r="AL19" s="95">
        <v>180</v>
      </c>
      <c r="AM19" s="95">
        <v>90</v>
      </c>
      <c r="AN19" s="95">
        <v>90</v>
      </c>
      <c r="AO19" s="95">
        <v>90</v>
      </c>
      <c r="AP19" s="95">
        <v>450</v>
      </c>
      <c r="AQ19" s="95">
        <v>450</v>
      </c>
      <c r="AR19" s="95">
        <v>450</v>
      </c>
      <c r="AS19" t="s" s="89">
        <v>62</v>
      </c>
      <c r="AT19" t="s" s="89">
        <v>62</v>
      </c>
      <c r="AU19" t="s" s="89">
        <v>62</v>
      </c>
      <c r="AV19" s="96">
        <v>4590</v>
      </c>
      <c r="AW19" s="88"/>
    </row>
    <row r="20" ht="32.2" customHeight="1">
      <c r="A20" s="47">
        <v>397</v>
      </c>
      <c r="B20" s="47">
        <v>10154</v>
      </c>
      <c r="C20" s="47">
        <v>2606110393</v>
      </c>
      <c r="D20" s="48">
        <v>46183</v>
      </c>
      <c r="E20" t="s" s="49">
        <v>114</v>
      </c>
      <c r="F20" s="50">
        <v>9490303153</v>
      </c>
      <c r="G20" s="53"/>
      <c r="H20" t="s" s="52">
        <v>59</v>
      </c>
      <c r="I20" t="s" s="52">
        <v>52</v>
      </c>
      <c r="J20" t="s" s="52">
        <v>53</v>
      </c>
      <c r="K20" s="53"/>
      <c r="L20" t="s" s="52">
        <v>115</v>
      </c>
      <c r="M20" t="s" s="52">
        <v>65</v>
      </c>
      <c r="N20" s="51">
        <v>462039</v>
      </c>
      <c r="O20" s="54">
        <v>1500</v>
      </c>
      <c r="P20" s="54">
        <v>75</v>
      </c>
      <c r="Q20" s="54">
        <v>75</v>
      </c>
      <c r="R20" s="54">
        <v>1500</v>
      </c>
      <c r="S20" s="54">
        <v>0</v>
      </c>
      <c r="T20" s="53"/>
      <c r="U20" t="s" s="52">
        <v>56</v>
      </c>
      <c r="V20" s="55">
        <v>46080.541666666664</v>
      </c>
      <c r="W20" s="51">
        <v>6</v>
      </c>
      <c r="X20" s="56">
        <v>46204</v>
      </c>
      <c r="Y20" s="56">
        <v>46210</v>
      </c>
      <c r="Z20" s="56">
        <v>46216</v>
      </c>
      <c r="AA20" s="56">
        <v>46221</v>
      </c>
      <c r="AB20" s="56">
        <v>46227</v>
      </c>
      <c r="AC20" s="56">
        <v>46233</v>
      </c>
      <c r="AD20" s="56"/>
      <c r="AE20" s="56"/>
      <c r="AF20" s="56"/>
      <c r="AG20" s="57">
        <v>500</v>
      </c>
      <c r="AH20" s="57">
        <v>500</v>
      </c>
      <c r="AI20" s="57">
        <v>250</v>
      </c>
      <c r="AJ20" s="57">
        <v>200</v>
      </c>
      <c r="AK20" s="57">
        <v>100</v>
      </c>
      <c r="AL20" s="57">
        <v>100</v>
      </c>
      <c r="AM20" s="57">
        <v>50</v>
      </c>
      <c r="AN20" s="57">
        <v>50</v>
      </c>
      <c r="AO20" s="57">
        <v>50</v>
      </c>
      <c r="AP20" s="57">
        <v>250</v>
      </c>
      <c r="AQ20" s="57">
        <v>250</v>
      </c>
      <c r="AR20" s="57">
        <v>250</v>
      </c>
      <c r="AS20" t="s" s="52">
        <v>62</v>
      </c>
      <c r="AT20" t="s" s="52">
        <v>62</v>
      </c>
      <c r="AU20" t="s" s="52">
        <v>62</v>
      </c>
      <c r="AV20" s="59">
        <v>2550</v>
      </c>
      <c r="AW20" s="57"/>
    </row>
    <row r="21" ht="20.2" customHeight="1">
      <c r="A21" s="47">
        <v>399</v>
      </c>
      <c r="B21" s="47">
        <v>10230</v>
      </c>
      <c r="C21" s="47">
        <v>2606110395</v>
      </c>
      <c r="D21" s="48">
        <v>46183</v>
      </c>
      <c r="E21" t="s" s="49">
        <v>116</v>
      </c>
      <c r="F21" s="50">
        <v>9407375151</v>
      </c>
      <c r="G21" s="53"/>
      <c r="H21" t="s" s="52">
        <v>51</v>
      </c>
      <c r="I21" t="s" s="52">
        <v>52</v>
      </c>
      <c r="J21" t="s" s="52">
        <v>53</v>
      </c>
      <c r="K21" s="53"/>
      <c r="L21" t="s" s="52">
        <v>117</v>
      </c>
      <c r="M21" t="s" s="52">
        <v>118</v>
      </c>
      <c r="N21" s="51">
        <v>462042</v>
      </c>
      <c r="O21" s="54">
        <v>2500</v>
      </c>
      <c r="P21" s="54">
        <v>125</v>
      </c>
      <c r="Q21" s="54">
        <v>125</v>
      </c>
      <c r="R21" s="54">
        <v>0</v>
      </c>
      <c r="S21" s="54">
        <v>2500</v>
      </c>
      <c r="T21" s="53"/>
      <c r="U21" t="s" s="52">
        <v>56</v>
      </c>
      <c r="V21" s="55">
        <v>46080.541666666664</v>
      </c>
      <c r="W21" s="51">
        <v>6</v>
      </c>
      <c r="X21" s="56">
        <v>46189</v>
      </c>
      <c r="Y21" s="56">
        <v>46195</v>
      </c>
      <c r="Z21" s="56">
        <v>46200</v>
      </c>
      <c r="AA21" s="56">
        <v>46207</v>
      </c>
      <c r="AB21" s="56">
        <v>46213</v>
      </c>
      <c r="AC21" s="56">
        <v>46219</v>
      </c>
      <c r="AD21" s="56"/>
      <c r="AE21" s="56"/>
      <c r="AF21" s="56"/>
      <c r="AG21" s="57">
        <v>500</v>
      </c>
      <c r="AH21" s="57">
        <v>500</v>
      </c>
      <c r="AI21" s="57">
        <v>450</v>
      </c>
      <c r="AJ21" s="57">
        <v>360</v>
      </c>
      <c r="AK21" s="57">
        <v>180</v>
      </c>
      <c r="AL21" s="57">
        <v>180</v>
      </c>
      <c r="AM21" s="57">
        <v>90</v>
      </c>
      <c r="AN21" s="57">
        <v>90</v>
      </c>
      <c r="AO21" s="57">
        <v>90</v>
      </c>
      <c r="AP21" s="57">
        <v>450</v>
      </c>
      <c r="AQ21" s="57">
        <v>450</v>
      </c>
      <c r="AR21" s="57">
        <v>450</v>
      </c>
      <c r="AS21" s="57">
        <v>450</v>
      </c>
      <c r="AT21" s="57">
        <v>450</v>
      </c>
      <c r="AU21" s="57">
        <v>900</v>
      </c>
      <c r="AV21" s="57">
        <v>4590</v>
      </c>
      <c r="AW21" t="s" s="52">
        <v>119</v>
      </c>
    </row>
    <row r="22" ht="20.2" customHeight="1">
      <c r="A22" s="47">
        <v>400</v>
      </c>
      <c r="B22" s="47">
        <v>10167</v>
      </c>
      <c r="C22" s="47">
        <v>2606110396</v>
      </c>
      <c r="D22" s="48">
        <v>46183</v>
      </c>
      <c r="E22" t="s" s="49">
        <v>120</v>
      </c>
      <c r="F22" s="50">
        <v>9303104277</v>
      </c>
      <c r="G22" s="53"/>
      <c r="H22" t="s" s="52">
        <v>71</v>
      </c>
      <c r="I22" t="s" s="52">
        <v>111</v>
      </c>
      <c r="J22" t="s" s="52">
        <v>53</v>
      </c>
      <c r="K22" s="53"/>
      <c r="L22" t="s" s="52">
        <v>121</v>
      </c>
      <c r="M22" t="s" s="52">
        <v>86</v>
      </c>
      <c r="N22" s="51">
        <v>462039</v>
      </c>
      <c r="O22" s="67">
        <v>750</v>
      </c>
      <c r="P22" s="67">
        <v>37.5</v>
      </c>
      <c r="Q22" s="67">
        <v>0</v>
      </c>
      <c r="R22" s="67">
        <v>750</v>
      </c>
      <c r="S22" s="67">
        <v>0</v>
      </c>
      <c r="T22" s="54"/>
      <c r="U22" t="s" s="52">
        <v>56</v>
      </c>
      <c r="V22" s="55">
        <v>46052.458333333336</v>
      </c>
      <c r="W22" s="51">
        <v>5</v>
      </c>
      <c r="X22" s="56">
        <v>46189</v>
      </c>
      <c r="Y22" s="56">
        <v>46196</v>
      </c>
      <c r="Z22" s="56">
        <v>46203</v>
      </c>
      <c r="AA22" s="56">
        <v>46210</v>
      </c>
      <c r="AB22" s="56">
        <v>46217</v>
      </c>
      <c r="AC22" s="56"/>
      <c r="AD22" s="56"/>
      <c r="AE22" s="56"/>
      <c r="AF22" s="56"/>
      <c r="AG22" s="57">
        <v>250</v>
      </c>
      <c r="AH22" s="57">
        <v>250</v>
      </c>
      <c r="AI22" s="57">
        <v>150</v>
      </c>
      <c r="AJ22" s="57">
        <v>120</v>
      </c>
      <c r="AK22" s="57">
        <v>60</v>
      </c>
      <c r="AL22" s="57">
        <v>60</v>
      </c>
      <c r="AM22" s="57">
        <v>50</v>
      </c>
      <c r="AN22" s="57">
        <v>50</v>
      </c>
      <c r="AO22" s="57">
        <v>50</v>
      </c>
      <c r="AP22" s="57">
        <v>200</v>
      </c>
      <c r="AQ22" s="57">
        <v>200</v>
      </c>
      <c r="AR22" t="s" s="52">
        <v>62</v>
      </c>
      <c r="AS22" t="s" s="52">
        <v>62</v>
      </c>
      <c r="AT22" t="s" s="52">
        <v>62</v>
      </c>
      <c r="AU22" t="s" s="52">
        <v>62</v>
      </c>
      <c r="AV22" s="59">
        <v>1440</v>
      </c>
      <c r="AW22" s="57"/>
    </row>
    <row r="23" ht="20.2" customHeight="1">
      <c r="A23" s="47">
        <v>401</v>
      </c>
      <c r="B23" s="47">
        <v>10160</v>
      </c>
      <c r="C23" s="47">
        <v>2606110397</v>
      </c>
      <c r="D23" s="48">
        <v>46143</v>
      </c>
      <c r="E23" t="s" s="49">
        <v>122</v>
      </c>
      <c r="F23" s="50">
        <v>7388137806</v>
      </c>
      <c r="G23" s="53"/>
      <c r="H23" t="s" s="52">
        <v>59</v>
      </c>
      <c r="I23" t="s" s="52">
        <v>52</v>
      </c>
      <c r="J23" t="s" s="52">
        <v>53</v>
      </c>
      <c r="K23" s="53"/>
      <c r="L23" t="s" s="52">
        <v>123</v>
      </c>
      <c r="M23" t="s" s="52">
        <v>55</v>
      </c>
      <c r="N23" s="51">
        <v>462026</v>
      </c>
      <c r="O23" s="54">
        <v>1500</v>
      </c>
      <c r="P23" s="54">
        <v>75</v>
      </c>
      <c r="Q23" s="54">
        <v>0</v>
      </c>
      <c r="R23" s="54">
        <v>0</v>
      </c>
      <c r="S23" s="54">
        <v>1575</v>
      </c>
      <c r="T23" s="53"/>
      <c r="U23" t="s" s="52">
        <v>56</v>
      </c>
      <c r="V23" s="55">
        <v>46052.583333333336</v>
      </c>
      <c r="W23" s="51">
        <v>6</v>
      </c>
      <c r="X23" s="56">
        <v>46189</v>
      </c>
      <c r="Y23" s="56">
        <v>46195</v>
      </c>
      <c r="Z23" s="56">
        <v>46200</v>
      </c>
      <c r="AA23" s="56">
        <v>46207</v>
      </c>
      <c r="AB23" s="56">
        <v>46213</v>
      </c>
      <c r="AC23" s="56">
        <v>46219</v>
      </c>
      <c r="AD23" s="56"/>
      <c r="AE23" s="56"/>
      <c r="AF23" s="56"/>
      <c r="AG23" s="57">
        <v>500</v>
      </c>
      <c r="AH23" s="57">
        <v>500</v>
      </c>
      <c r="AI23" s="57">
        <v>250</v>
      </c>
      <c r="AJ23" s="57">
        <v>200</v>
      </c>
      <c r="AK23" s="57">
        <v>100</v>
      </c>
      <c r="AL23" s="57">
        <v>100</v>
      </c>
      <c r="AM23" s="57">
        <v>50</v>
      </c>
      <c r="AN23" s="57">
        <v>50</v>
      </c>
      <c r="AO23" s="57">
        <v>50</v>
      </c>
      <c r="AP23" s="57">
        <v>250</v>
      </c>
      <c r="AQ23" s="57">
        <v>250</v>
      </c>
      <c r="AR23" s="57">
        <v>250</v>
      </c>
      <c r="AS23" t="s" s="52">
        <v>62</v>
      </c>
      <c r="AT23" t="s" s="52">
        <v>62</v>
      </c>
      <c r="AU23" t="s" s="52">
        <v>62</v>
      </c>
      <c r="AV23" s="57">
        <v>2550</v>
      </c>
      <c r="AW23" s="57"/>
    </row>
    <row r="24" ht="20.2" customHeight="1">
      <c r="A24" s="47">
        <v>402</v>
      </c>
      <c r="B24" s="23">
        <v>10015</v>
      </c>
      <c r="C24" s="23">
        <v>2606110398</v>
      </c>
      <c r="D24" s="37">
        <v>46183</v>
      </c>
      <c r="E24" t="s" s="25">
        <v>124</v>
      </c>
      <c r="F24" s="26">
        <v>9981855509</v>
      </c>
      <c r="G24" s="27">
        <v>8319795106</v>
      </c>
      <c r="H24" t="s" s="28">
        <v>125</v>
      </c>
      <c r="I24" t="s" s="28">
        <v>52</v>
      </c>
      <c r="J24" t="s" s="28">
        <v>53</v>
      </c>
      <c r="K24" s="29"/>
      <c r="L24" t="s" s="28">
        <v>126</v>
      </c>
      <c r="M24" t="s" s="28">
        <v>127</v>
      </c>
      <c r="N24" s="27">
        <v>462026</v>
      </c>
      <c r="O24" s="30">
        <v>2999</v>
      </c>
      <c r="P24" s="30">
        <v>149.95</v>
      </c>
      <c r="Q24" s="30">
        <v>0</v>
      </c>
      <c r="R24" s="30">
        <v>3148.95</v>
      </c>
      <c r="S24" s="30">
        <v>0</v>
      </c>
      <c r="T24" s="31"/>
      <c r="U24" t="s" s="28">
        <v>56</v>
      </c>
      <c r="V24" s="32">
        <v>46044.416666666664</v>
      </c>
      <c r="W24" s="33">
        <v>6</v>
      </c>
      <c r="X24" s="34">
        <v>46189</v>
      </c>
      <c r="Y24" s="34">
        <v>46195</v>
      </c>
      <c r="Z24" s="34">
        <v>46200</v>
      </c>
      <c r="AA24" s="34">
        <v>46207</v>
      </c>
      <c r="AB24" s="34">
        <v>46213</v>
      </c>
      <c r="AC24" s="34">
        <v>46219</v>
      </c>
      <c r="AD24" s="34"/>
      <c r="AE24" s="34"/>
      <c r="AF24" s="34"/>
      <c r="AG24" s="35">
        <v>1300</v>
      </c>
      <c r="AH24" s="35">
        <v>1300</v>
      </c>
      <c r="AI24" s="35">
        <v>650</v>
      </c>
      <c r="AJ24" s="35">
        <v>520</v>
      </c>
      <c r="AK24" s="35">
        <v>260</v>
      </c>
      <c r="AL24" s="35">
        <v>260</v>
      </c>
      <c r="AM24" s="35">
        <v>130</v>
      </c>
      <c r="AN24" s="35">
        <v>130</v>
      </c>
      <c r="AO24" s="35">
        <v>130</v>
      </c>
      <c r="AP24" s="35">
        <v>750</v>
      </c>
      <c r="AQ24" s="35">
        <v>750</v>
      </c>
      <c r="AR24" s="35">
        <v>750</v>
      </c>
      <c r="AS24" s="35">
        <v>750</v>
      </c>
      <c r="AT24" t="s" s="28">
        <v>62</v>
      </c>
      <c r="AU24" t="s" s="28">
        <v>62</v>
      </c>
      <c r="AV24" s="36">
        <v>7680</v>
      </c>
      <c r="AW24" t="s" s="28">
        <v>128</v>
      </c>
    </row>
    <row r="25" ht="20.2" customHeight="1">
      <c r="A25" s="60">
        <v>409</v>
      </c>
      <c r="B25" s="60">
        <v>10032</v>
      </c>
      <c r="C25" s="60">
        <v>2606110405</v>
      </c>
      <c r="D25" s="61">
        <v>46189</v>
      </c>
      <c r="E25" t="s" s="97">
        <v>129</v>
      </c>
      <c r="F25" s="98">
        <v>7869119627</v>
      </c>
      <c r="G25" s="99"/>
      <c r="H25" t="s" s="100">
        <v>130</v>
      </c>
      <c r="I25" t="s" s="100">
        <v>52</v>
      </c>
      <c r="J25" t="s" s="100">
        <v>53</v>
      </c>
      <c r="K25" s="99"/>
      <c r="L25" t="s" s="100">
        <v>131</v>
      </c>
      <c r="M25" t="s" s="100">
        <v>86</v>
      </c>
      <c r="N25" s="101">
        <v>462026</v>
      </c>
      <c r="O25" s="102">
        <v>499</v>
      </c>
      <c r="P25" s="102">
        <v>24.95</v>
      </c>
      <c r="Q25" s="102">
        <v>0</v>
      </c>
      <c r="R25" s="102">
        <v>525</v>
      </c>
      <c r="S25" s="102">
        <v>-1.05</v>
      </c>
      <c r="T25" s="103"/>
      <c r="U25" t="s" s="100">
        <v>56</v>
      </c>
      <c r="V25" s="104">
        <v>46058.5</v>
      </c>
      <c r="W25" s="105">
        <v>5</v>
      </c>
      <c r="X25" s="106">
        <v>46203</v>
      </c>
      <c r="Y25" s="106">
        <v>46210</v>
      </c>
      <c r="Z25" s="106">
        <v>46217</v>
      </c>
      <c r="AA25" s="106">
        <v>46224</v>
      </c>
      <c r="AB25" s="56">
        <v>46230</v>
      </c>
      <c r="AC25" s="106"/>
      <c r="AD25" s="106"/>
      <c r="AE25" s="106"/>
      <c r="AF25" s="106"/>
      <c r="AG25" s="107">
        <v>250</v>
      </c>
      <c r="AH25" s="107">
        <v>400</v>
      </c>
      <c r="AI25" s="107">
        <v>150</v>
      </c>
      <c r="AJ25" s="107">
        <v>200</v>
      </c>
      <c r="AK25" s="107">
        <v>0</v>
      </c>
      <c r="AL25" s="107">
        <v>0</v>
      </c>
      <c r="AM25" s="107">
        <v>0</v>
      </c>
      <c r="AN25" s="107">
        <v>80</v>
      </c>
      <c r="AO25" s="107">
        <v>50</v>
      </c>
      <c r="AP25" s="107">
        <v>250</v>
      </c>
      <c r="AQ25" s="107">
        <v>250</v>
      </c>
      <c r="AR25" s="107">
        <v>0</v>
      </c>
      <c r="AS25" s="107">
        <v>0</v>
      </c>
      <c r="AT25" s="107">
        <v>0</v>
      </c>
      <c r="AU25" s="107">
        <v>0</v>
      </c>
      <c r="AV25" s="108">
        <v>1630</v>
      </c>
      <c r="AW25" t="s" s="100">
        <v>132</v>
      </c>
    </row>
    <row r="26" ht="20.2" customHeight="1">
      <c r="A26" s="47">
        <v>410</v>
      </c>
      <c r="B26" s="47">
        <v>10101</v>
      </c>
      <c r="C26" s="47">
        <v>2606110406</v>
      </c>
      <c r="D26" s="48">
        <v>46189</v>
      </c>
      <c r="E26" t="s" s="49">
        <v>133</v>
      </c>
      <c r="F26" s="50">
        <v>7974186375</v>
      </c>
      <c r="G26" s="53"/>
      <c r="H26" t="s" s="52">
        <v>59</v>
      </c>
      <c r="I26" t="s" s="52">
        <v>52</v>
      </c>
      <c r="J26" t="s" s="52">
        <v>53</v>
      </c>
      <c r="K26" s="53"/>
      <c r="L26" t="s" s="52">
        <v>134</v>
      </c>
      <c r="M26" t="s" s="52">
        <v>68</v>
      </c>
      <c r="N26" s="51">
        <v>462026</v>
      </c>
      <c r="O26" s="54">
        <v>1500</v>
      </c>
      <c r="P26" s="54">
        <v>75</v>
      </c>
      <c r="Q26" s="54">
        <v>75</v>
      </c>
      <c r="R26" s="54">
        <v>0</v>
      </c>
      <c r="S26" s="54">
        <v>1500</v>
      </c>
      <c r="T26" s="54"/>
      <c r="U26" t="s" s="52">
        <v>56</v>
      </c>
      <c r="V26" s="55">
        <v>46078.666666666664</v>
      </c>
      <c r="W26" s="51">
        <v>6</v>
      </c>
      <c r="X26" s="56">
        <v>46192</v>
      </c>
      <c r="Y26" s="56">
        <v>46198</v>
      </c>
      <c r="Z26" s="56">
        <v>46204</v>
      </c>
      <c r="AA26" s="56">
        <v>46210</v>
      </c>
      <c r="AB26" s="56">
        <v>46216</v>
      </c>
      <c r="AC26" s="56">
        <v>46221</v>
      </c>
      <c r="AD26" s="56"/>
      <c r="AE26" s="56"/>
      <c r="AF26" s="56"/>
      <c r="AG26" s="57">
        <v>500</v>
      </c>
      <c r="AH26" s="57">
        <v>500</v>
      </c>
      <c r="AI26" s="57">
        <v>250</v>
      </c>
      <c r="AJ26" s="57">
        <v>200</v>
      </c>
      <c r="AK26" s="57">
        <v>100</v>
      </c>
      <c r="AL26" s="57">
        <v>100</v>
      </c>
      <c r="AM26" s="57">
        <v>50</v>
      </c>
      <c r="AN26" s="57">
        <v>50</v>
      </c>
      <c r="AO26" s="57">
        <v>50</v>
      </c>
      <c r="AP26" s="57">
        <v>250</v>
      </c>
      <c r="AQ26" s="57">
        <v>250</v>
      </c>
      <c r="AR26" s="57">
        <v>250</v>
      </c>
      <c r="AS26" t="s" s="52">
        <v>62</v>
      </c>
      <c r="AT26" t="s" s="52">
        <v>62</v>
      </c>
      <c r="AU26" t="s" s="52">
        <v>62</v>
      </c>
      <c r="AV26" s="57">
        <v>2550</v>
      </c>
      <c r="AW26" s="57"/>
    </row>
    <row r="27" ht="20.2" customHeight="1">
      <c r="A27" s="47">
        <v>411</v>
      </c>
      <c r="B27" s="47">
        <v>10236</v>
      </c>
      <c r="C27" s="47">
        <v>2606110407</v>
      </c>
      <c r="D27" s="48">
        <v>46189</v>
      </c>
      <c r="E27" t="s" s="49">
        <v>135</v>
      </c>
      <c r="F27" s="50">
        <v>7470913459</v>
      </c>
      <c r="G27" s="53"/>
      <c r="H27" t="s" s="52">
        <v>71</v>
      </c>
      <c r="I27" t="s" s="52">
        <v>111</v>
      </c>
      <c r="J27" t="s" s="52">
        <v>53</v>
      </c>
      <c r="K27" s="53"/>
      <c r="L27" t="s" s="52">
        <v>136</v>
      </c>
      <c r="M27" t="s" s="52">
        <v>61</v>
      </c>
      <c r="N27" s="51">
        <v>462039</v>
      </c>
      <c r="O27" s="67">
        <v>750</v>
      </c>
      <c r="P27" s="67">
        <v>37.5</v>
      </c>
      <c r="Q27" s="67">
        <v>0</v>
      </c>
      <c r="R27" s="67">
        <v>0</v>
      </c>
      <c r="S27" s="67">
        <v>787</v>
      </c>
      <c r="T27" s="54"/>
      <c r="U27" t="s" s="52">
        <v>56</v>
      </c>
      <c r="V27" s="55">
        <v>46052.458333333336</v>
      </c>
      <c r="W27" s="51">
        <v>5</v>
      </c>
      <c r="X27" s="56">
        <v>46195</v>
      </c>
      <c r="Y27" s="56">
        <v>46202</v>
      </c>
      <c r="Z27" s="56">
        <v>46209</v>
      </c>
      <c r="AA27" s="56">
        <v>46216</v>
      </c>
      <c r="AB27" s="56">
        <v>46223</v>
      </c>
      <c r="AC27" s="56"/>
      <c r="AD27" s="56"/>
      <c r="AE27" s="56"/>
      <c r="AF27" s="56"/>
      <c r="AG27" s="57"/>
      <c r="AH27" s="57"/>
      <c r="AI27" s="57">
        <v>300</v>
      </c>
      <c r="AJ27" s="57"/>
      <c r="AK27" s="57">
        <v>70</v>
      </c>
      <c r="AL27" s="57"/>
      <c r="AM27" s="57"/>
      <c r="AN27" s="57">
        <v>50</v>
      </c>
      <c r="AO27" s="57">
        <v>50</v>
      </c>
      <c r="AP27" s="57">
        <v>250</v>
      </c>
      <c r="AQ27" s="57">
        <v>250</v>
      </c>
      <c r="AR27" s="57">
        <v>250</v>
      </c>
      <c r="AS27" t="s" s="52">
        <v>62</v>
      </c>
      <c r="AT27" t="s" s="52">
        <v>62</v>
      </c>
      <c r="AU27" t="s" s="52">
        <v>62</v>
      </c>
      <c r="AV27" s="59">
        <v>1220</v>
      </c>
      <c r="AW27" t="s" s="52">
        <v>137</v>
      </c>
    </row>
    <row r="28" ht="20.2" customHeight="1">
      <c r="A28" s="47">
        <v>412</v>
      </c>
      <c r="B28" s="47">
        <v>10237</v>
      </c>
      <c r="C28" s="47">
        <v>2606110408</v>
      </c>
      <c r="D28" s="48">
        <v>46189</v>
      </c>
      <c r="E28" t="s" s="49">
        <v>138</v>
      </c>
      <c r="F28" s="50">
        <v>8817590034</v>
      </c>
      <c r="G28" s="53"/>
      <c r="H28" t="s" s="52">
        <v>71</v>
      </c>
      <c r="I28" t="s" s="52">
        <v>111</v>
      </c>
      <c r="J28" t="s" s="52">
        <v>53</v>
      </c>
      <c r="K28" s="53"/>
      <c r="L28" t="s" s="52">
        <v>139</v>
      </c>
      <c r="M28" t="s" s="52">
        <v>140</v>
      </c>
      <c r="N28" s="51">
        <v>462039</v>
      </c>
      <c r="O28" s="67">
        <v>750</v>
      </c>
      <c r="P28" s="67">
        <v>37.5</v>
      </c>
      <c r="Q28" s="67">
        <v>0</v>
      </c>
      <c r="R28" s="67">
        <v>0</v>
      </c>
      <c r="S28" s="67">
        <v>787</v>
      </c>
      <c r="T28" s="54"/>
      <c r="U28" t="s" s="52">
        <v>56</v>
      </c>
      <c r="V28" s="55">
        <v>46052.458333333336</v>
      </c>
      <c r="W28" s="51">
        <v>5</v>
      </c>
      <c r="X28" s="56">
        <v>46193</v>
      </c>
      <c r="Y28" s="56">
        <v>46200</v>
      </c>
      <c r="Z28" s="56">
        <v>46207</v>
      </c>
      <c r="AA28" s="56">
        <v>46214</v>
      </c>
      <c r="AB28" s="56">
        <v>46221</v>
      </c>
      <c r="AC28" s="56"/>
      <c r="AD28" s="56"/>
      <c r="AE28" s="56"/>
      <c r="AF28" s="56"/>
      <c r="AG28" s="57">
        <v>250</v>
      </c>
      <c r="AH28" s="57">
        <v>250</v>
      </c>
      <c r="AI28" s="57">
        <v>150</v>
      </c>
      <c r="AJ28" s="57">
        <v>120</v>
      </c>
      <c r="AK28" s="57">
        <v>60</v>
      </c>
      <c r="AL28" s="57">
        <v>60</v>
      </c>
      <c r="AM28" s="57">
        <v>50</v>
      </c>
      <c r="AN28" s="57">
        <v>50</v>
      </c>
      <c r="AO28" s="57">
        <v>50</v>
      </c>
      <c r="AP28" s="57">
        <v>200</v>
      </c>
      <c r="AQ28" s="57">
        <v>200</v>
      </c>
      <c r="AR28" t="s" s="52">
        <v>62</v>
      </c>
      <c r="AS28" t="s" s="52">
        <v>62</v>
      </c>
      <c r="AT28" t="s" s="52">
        <v>62</v>
      </c>
      <c r="AU28" t="s" s="52">
        <v>62</v>
      </c>
      <c r="AV28" s="59">
        <v>1440</v>
      </c>
      <c r="AW28" s="57"/>
    </row>
    <row r="29" ht="20.2" customHeight="1">
      <c r="A29" s="47">
        <v>414</v>
      </c>
      <c r="B29" s="47">
        <v>10166</v>
      </c>
      <c r="C29" s="47">
        <v>2606110410</v>
      </c>
      <c r="D29" s="48">
        <v>46189</v>
      </c>
      <c r="E29" t="s" s="49">
        <v>141</v>
      </c>
      <c r="F29" s="50">
        <v>9713039725</v>
      </c>
      <c r="G29" s="51">
        <v>9713076456</v>
      </c>
      <c r="H29" t="s" s="52">
        <v>51</v>
      </c>
      <c r="I29" t="s" s="52">
        <v>52</v>
      </c>
      <c r="J29" t="s" s="52">
        <v>53</v>
      </c>
      <c r="K29" s="53"/>
      <c r="L29" t="s" s="52">
        <v>142</v>
      </c>
      <c r="M29" t="s" s="52">
        <v>143</v>
      </c>
      <c r="N29" s="53"/>
      <c r="O29" s="54">
        <v>3329</v>
      </c>
      <c r="P29" s="54">
        <v>166.45</v>
      </c>
      <c r="Q29" s="54">
        <v>0</v>
      </c>
      <c r="R29" s="54">
        <v>3500</v>
      </c>
      <c r="S29" s="54">
        <v>-4.55</v>
      </c>
      <c r="T29" s="54"/>
      <c r="U29" t="s" s="52">
        <v>56</v>
      </c>
      <c r="V29" s="55">
        <v>46031.791666666664</v>
      </c>
      <c r="W29" s="51">
        <v>6</v>
      </c>
      <c r="X29" s="56">
        <v>46195</v>
      </c>
      <c r="Y29" s="56">
        <v>46200</v>
      </c>
      <c r="Z29" s="56">
        <v>46205</v>
      </c>
      <c r="AA29" s="56">
        <v>46210</v>
      </c>
      <c r="AB29" s="56">
        <v>46214</v>
      </c>
      <c r="AC29" s="56">
        <v>46219</v>
      </c>
      <c r="AD29" s="56">
        <v>46224</v>
      </c>
      <c r="AE29" s="56">
        <v>46228</v>
      </c>
      <c r="AF29" s="56"/>
      <c r="AG29" s="57">
        <v>900</v>
      </c>
      <c r="AH29" s="57">
        <v>900</v>
      </c>
      <c r="AI29" s="57">
        <v>450</v>
      </c>
      <c r="AJ29" s="57">
        <v>360</v>
      </c>
      <c r="AK29" s="57">
        <v>180</v>
      </c>
      <c r="AL29" s="57">
        <v>180</v>
      </c>
      <c r="AM29" s="57">
        <v>90</v>
      </c>
      <c r="AN29" s="57">
        <v>90</v>
      </c>
      <c r="AO29" s="57">
        <v>90</v>
      </c>
      <c r="AP29" s="57">
        <v>450</v>
      </c>
      <c r="AQ29" s="57">
        <v>450</v>
      </c>
      <c r="AR29" s="57">
        <v>450</v>
      </c>
      <c r="AS29" t="s" s="52">
        <v>62</v>
      </c>
      <c r="AT29" t="s" s="52">
        <v>62</v>
      </c>
      <c r="AU29" t="s" s="52">
        <v>62</v>
      </c>
      <c r="AV29" s="59">
        <v>4590</v>
      </c>
      <c r="AW29" s="57"/>
    </row>
    <row r="30" ht="20.2" customHeight="1">
      <c r="A30" s="47">
        <v>415</v>
      </c>
      <c r="B30" s="47">
        <v>10013</v>
      </c>
      <c r="C30" s="47">
        <v>2606110411</v>
      </c>
      <c r="D30" s="48">
        <v>46190</v>
      </c>
      <c r="E30" t="s" s="49">
        <v>144</v>
      </c>
      <c r="F30" s="50">
        <v>9202176549</v>
      </c>
      <c r="G30" s="51">
        <v>9826324421</v>
      </c>
      <c r="H30" t="s" s="52">
        <v>59</v>
      </c>
      <c r="I30" t="s" s="52">
        <v>52</v>
      </c>
      <c r="J30" t="s" s="52">
        <v>53</v>
      </c>
      <c r="K30" s="53"/>
      <c r="L30" t="s" s="52">
        <v>145</v>
      </c>
      <c r="M30" t="s" s="52">
        <v>127</v>
      </c>
      <c r="N30" s="51">
        <v>462026</v>
      </c>
      <c r="O30" s="67">
        <v>1500</v>
      </c>
      <c r="P30" s="67">
        <v>75</v>
      </c>
      <c r="Q30" s="67">
        <v>0</v>
      </c>
      <c r="R30" s="67">
        <v>1000</v>
      </c>
      <c r="S30" s="67">
        <v>575</v>
      </c>
      <c r="T30" s="53"/>
      <c r="U30" t="s" s="52">
        <v>56</v>
      </c>
      <c r="V30" s="55">
        <v>46037.5</v>
      </c>
      <c r="W30" s="51">
        <v>6</v>
      </c>
      <c r="X30" s="56">
        <v>46196</v>
      </c>
      <c r="Y30" s="56">
        <v>46202</v>
      </c>
      <c r="Z30" s="56">
        <v>46207</v>
      </c>
      <c r="AA30" s="56">
        <v>46213</v>
      </c>
      <c r="AB30" s="56">
        <v>46219</v>
      </c>
      <c r="AC30" s="56">
        <v>46225</v>
      </c>
      <c r="AD30" s="56"/>
      <c r="AE30" s="56"/>
      <c r="AF30" s="56"/>
      <c r="AG30" s="57">
        <v>500</v>
      </c>
      <c r="AH30" s="57">
        <v>500</v>
      </c>
      <c r="AI30" s="57">
        <v>250</v>
      </c>
      <c r="AJ30" s="57">
        <v>200</v>
      </c>
      <c r="AK30" s="57">
        <v>100</v>
      </c>
      <c r="AL30" s="57">
        <v>100</v>
      </c>
      <c r="AM30" s="57">
        <v>50</v>
      </c>
      <c r="AN30" s="57">
        <v>50</v>
      </c>
      <c r="AO30" s="57">
        <v>50</v>
      </c>
      <c r="AP30" s="57">
        <v>250</v>
      </c>
      <c r="AQ30" s="57">
        <v>250</v>
      </c>
      <c r="AR30" s="57">
        <v>250</v>
      </c>
      <c r="AS30" t="s" s="52">
        <v>62</v>
      </c>
      <c r="AT30" t="s" s="52">
        <v>62</v>
      </c>
      <c r="AU30" t="s" s="52">
        <v>62</v>
      </c>
      <c r="AV30" s="59">
        <v>1440</v>
      </c>
      <c r="AW30" s="53"/>
    </row>
    <row r="31" ht="20.2" customHeight="1">
      <c r="A31" s="84">
        <v>416</v>
      </c>
      <c r="B31" s="84">
        <v>10291</v>
      </c>
      <c r="C31" s="84">
        <v>2606110412</v>
      </c>
      <c r="D31" s="85">
        <v>46190</v>
      </c>
      <c r="E31" t="s" s="86">
        <v>146</v>
      </c>
      <c r="F31" s="87">
        <v>8817777904</v>
      </c>
      <c r="G31" s="88"/>
      <c r="H31" t="s" s="89">
        <v>51</v>
      </c>
      <c r="I31" t="s" s="89">
        <v>111</v>
      </c>
      <c r="J31" t="s" s="89">
        <v>53</v>
      </c>
      <c r="K31" s="88"/>
      <c r="L31" t="s" s="89">
        <v>147</v>
      </c>
      <c r="M31" t="s" s="89">
        <v>55</v>
      </c>
      <c r="N31" s="90">
        <v>462039</v>
      </c>
      <c r="O31" s="91">
        <v>2499</v>
      </c>
      <c r="P31" s="91">
        <v>124.95</v>
      </c>
      <c r="Q31" s="91">
        <v>0</v>
      </c>
      <c r="R31" s="91">
        <v>0</v>
      </c>
      <c r="S31" s="91">
        <v>2623.95</v>
      </c>
      <c r="T31" s="91"/>
      <c r="U31" t="s" s="89">
        <v>56</v>
      </c>
      <c r="V31" s="92">
        <v>46031.458333333336</v>
      </c>
      <c r="W31" s="93">
        <v>6</v>
      </c>
      <c r="X31" s="94">
        <v>46191</v>
      </c>
      <c r="Y31" s="94">
        <v>46197</v>
      </c>
      <c r="Z31" s="94">
        <v>46203</v>
      </c>
      <c r="AA31" s="94">
        <v>46209</v>
      </c>
      <c r="AB31" s="94">
        <v>46214</v>
      </c>
      <c r="AC31" s="94">
        <v>46220</v>
      </c>
      <c r="AD31" s="94"/>
      <c r="AE31" s="94"/>
      <c r="AF31" s="94"/>
      <c r="AG31" s="95">
        <v>900</v>
      </c>
      <c r="AH31" s="95">
        <v>900</v>
      </c>
      <c r="AI31" s="95">
        <v>450</v>
      </c>
      <c r="AJ31" s="95">
        <v>360</v>
      </c>
      <c r="AK31" s="95">
        <v>180</v>
      </c>
      <c r="AL31" s="95">
        <v>180</v>
      </c>
      <c r="AM31" s="95">
        <v>90</v>
      </c>
      <c r="AN31" s="95">
        <v>90</v>
      </c>
      <c r="AO31" s="95">
        <v>90</v>
      </c>
      <c r="AP31" s="95">
        <v>450</v>
      </c>
      <c r="AQ31" s="95">
        <v>450</v>
      </c>
      <c r="AR31" s="95">
        <v>450</v>
      </c>
      <c r="AS31" t="s" s="89">
        <v>62</v>
      </c>
      <c r="AT31" t="s" s="89">
        <v>62</v>
      </c>
      <c r="AU31" t="s" s="89">
        <v>62</v>
      </c>
      <c r="AV31" s="96">
        <v>4590</v>
      </c>
      <c r="AW31" s="88"/>
    </row>
    <row r="32" ht="20.2" customHeight="1">
      <c r="A32" s="60">
        <v>418</v>
      </c>
      <c r="B32" s="47">
        <v>10026</v>
      </c>
      <c r="C32" s="47">
        <v>2606110414</v>
      </c>
      <c r="D32" s="48">
        <v>46192</v>
      </c>
      <c r="E32" t="s" s="49">
        <v>148</v>
      </c>
      <c r="F32" s="50">
        <v>9669098509</v>
      </c>
      <c r="G32" s="51">
        <v>9026059506</v>
      </c>
      <c r="H32" t="s" s="52">
        <v>59</v>
      </c>
      <c r="I32" t="s" s="52">
        <v>52</v>
      </c>
      <c r="J32" t="s" s="52">
        <v>53</v>
      </c>
      <c r="K32" s="53"/>
      <c r="L32" t="s" s="52">
        <v>149</v>
      </c>
      <c r="M32" t="s" s="52">
        <v>91</v>
      </c>
      <c r="N32" s="51">
        <v>462039</v>
      </c>
      <c r="O32" s="54">
        <v>1500</v>
      </c>
      <c r="P32" s="54">
        <v>75</v>
      </c>
      <c r="Q32" s="54">
        <v>0</v>
      </c>
      <c r="R32" s="54">
        <v>0</v>
      </c>
      <c r="S32" s="54">
        <v>1500</v>
      </c>
      <c r="T32" s="109"/>
      <c r="U32" t="s" s="52">
        <v>56</v>
      </c>
      <c r="V32" s="55">
        <v>46056.583333333336</v>
      </c>
      <c r="W32" s="51">
        <v>9</v>
      </c>
      <c r="X32" s="56">
        <v>46197</v>
      </c>
      <c r="Y32" s="56">
        <v>46200</v>
      </c>
      <c r="Z32" s="56">
        <v>46204</v>
      </c>
      <c r="AA32" s="56">
        <v>46207</v>
      </c>
      <c r="AB32" s="56">
        <v>46211</v>
      </c>
      <c r="AC32" s="56">
        <v>46214</v>
      </c>
      <c r="AD32" s="56">
        <v>46218</v>
      </c>
      <c r="AE32" s="56">
        <v>46221</v>
      </c>
      <c r="AF32" s="56">
        <v>46225</v>
      </c>
      <c r="AG32" s="59">
        <v>500</v>
      </c>
      <c r="AH32" s="59">
        <v>500</v>
      </c>
      <c r="AI32" s="59">
        <v>250</v>
      </c>
      <c r="AJ32" s="59">
        <v>200</v>
      </c>
      <c r="AK32" s="59">
        <v>100</v>
      </c>
      <c r="AL32" s="59">
        <v>100</v>
      </c>
      <c r="AM32" s="59">
        <v>50</v>
      </c>
      <c r="AN32" s="59">
        <v>50</v>
      </c>
      <c r="AO32" s="59">
        <v>50</v>
      </c>
      <c r="AP32" s="59">
        <v>250</v>
      </c>
      <c r="AQ32" s="59">
        <v>250</v>
      </c>
      <c r="AR32" s="59">
        <v>250</v>
      </c>
      <c r="AS32" s="59">
        <v>0</v>
      </c>
      <c r="AT32" s="59">
        <v>0</v>
      </c>
      <c r="AU32" s="59">
        <v>0</v>
      </c>
      <c r="AV32" s="59">
        <v>2550</v>
      </c>
      <c r="AW32" s="59"/>
    </row>
    <row r="33" ht="20.2" customHeight="1">
      <c r="A33" s="110">
        <v>419</v>
      </c>
      <c r="B33" s="110">
        <v>10148</v>
      </c>
      <c r="C33" s="110">
        <v>2606110415</v>
      </c>
      <c r="D33" s="111">
        <v>46194</v>
      </c>
      <c r="E33" t="s" s="112">
        <v>150</v>
      </c>
      <c r="F33" s="113">
        <v>9893355893</v>
      </c>
      <c r="G33" s="114">
        <v>9340827149</v>
      </c>
      <c r="H33" t="s" s="115">
        <v>125</v>
      </c>
      <c r="I33" t="s" s="115">
        <v>89</v>
      </c>
      <c r="J33" t="s" s="115">
        <v>53</v>
      </c>
      <c r="K33" s="116"/>
      <c r="L33" t="s" s="115">
        <v>151</v>
      </c>
      <c r="M33" t="s" s="115">
        <v>140</v>
      </c>
      <c r="N33" s="114">
        <v>462026</v>
      </c>
      <c r="O33" s="117">
        <v>3499</v>
      </c>
      <c r="P33" s="117">
        <v>174.95</v>
      </c>
      <c r="Q33" s="117">
        <v>0</v>
      </c>
      <c r="R33" s="117">
        <v>3500</v>
      </c>
      <c r="S33" s="117">
        <v>173.95</v>
      </c>
      <c r="T33" s="118"/>
      <c r="U33" t="s" s="115">
        <v>56</v>
      </c>
      <c r="V33" s="119">
        <v>46044.541666666664</v>
      </c>
      <c r="W33" s="120">
        <v>6</v>
      </c>
      <c r="X33" s="121">
        <v>46203</v>
      </c>
      <c r="Y33" s="122">
        <v>46209</v>
      </c>
      <c r="Z33" s="122">
        <v>46214</v>
      </c>
      <c r="AA33" s="122">
        <v>46220</v>
      </c>
      <c r="AB33" s="122">
        <v>46226</v>
      </c>
      <c r="AC33" s="122">
        <v>46232</v>
      </c>
      <c r="AD33" s="122"/>
      <c r="AE33" s="122"/>
      <c r="AF33" s="122"/>
      <c r="AG33" s="123">
        <v>1300</v>
      </c>
      <c r="AH33" s="123">
        <v>900</v>
      </c>
      <c r="AI33" s="123">
        <v>900</v>
      </c>
      <c r="AJ33" s="123">
        <v>520</v>
      </c>
      <c r="AK33" s="123">
        <v>260</v>
      </c>
      <c r="AL33" s="123">
        <v>150</v>
      </c>
      <c r="AM33" s="123">
        <v>130</v>
      </c>
      <c r="AN33" s="123">
        <v>130</v>
      </c>
      <c r="AO33" s="123">
        <v>90</v>
      </c>
      <c r="AP33" s="123">
        <v>750</v>
      </c>
      <c r="AQ33" s="123">
        <v>750</v>
      </c>
      <c r="AR33" s="123">
        <v>750</v>
      </c>
      <c r="AS33" s="123">
        <v>750</v>
      </c>
      <c r="AT33" t="s" s="115">
        <v>62</v>
      </c>
      <c r="AU33" t="s" s="115">
        <v>62</v>
      </c>
      <c r="AV33" s="124">
        <v>7680</v>
      </c>
      <c r="AW33" t="s" s="115">
        <v>128</v>
      </c>
    </row>
    <row r="34" ht="32.2" customHeight="1">
      <c r="A34" s="47">
        <v>420</v>
      </c>
      <c r="B34" s="47">
        <v>10129</v>
      </c>
      <c r="C34" s="47">
        <v>2606110416</v>
      </c>
      <c r="D34" s="48">
        <v>46194</v>
      </c>
      <c r="E34" t="s" s="49">
        <v>152</v>
      </c>
      <c r="F34" s="50">
        <v>9425464547</v>
      </c>
      <c r="G34" s="53"/>
      <c r="H34" t="s" s="52">
        <v>59</v>
      </c>
      <c r="I34" t="s" s="52">
        <v>52</v>
      </c>
      <c r="J34" t="s" s="52">
        <v>53</v>
      </c>
      <c r="K34" s="53"/>
      <c r="L34" t="s" s="52">
        <v>153</v>
      </c>
      <c r="M34" t="s" s="52">
        <v>103</v>
      </c>
      <c r="N34" s="51">
        <v>462026</v>
      </c>
      <c r="O34" s="54">
        <v>2248.5</v>
      </c>
      <c r="P34" s="54">
        <v>112.425</v>
      </c>
      <c r="Q34" s="54">
        <v>112.5</v>
      </c>
      <c r="R34" s="54">
        <v>2248.5</v>
      </c>
      <c r="S34" s="54">
        <v>-0.075</v>
      </c>
      <c r="T34" s="109"/>
      <c r="U34" t="s" s="52">
        <v>56</v>
      </c>
      <c r="V34" s="55">
        <v>46056.5</v>
      </c>
      <c r="W34" s="51">
        <v>9</v>
      </c>
      <c r="X34" s="56">
        <v>46200</v>
      </c>
      <c r="Y34" s="70">
        <v>46204</v>
      </c>
      <c r="Z34" s="70">
        <v>46207</v>
      </c>
      <c r="AA34" s="70">
        <v>46211</v>
      </c>
      <c r="AB34" s="70">
        <v>46214</v>
      </c>
      <c r="AC34" s="70">
        <v>46218</v>
      </c>
      <c r="AD34" s="70">
        <v>46221</v>
      </c>
      <c r="AE34" s="70">
        <v>46225</v>
      </c>
      <c r="AF34" s="70">
        <v>46228</v>
      </c>
      <c r="AG34" s="59">
        <v>500</v>
      </c>
      <c r="AH34" s="59">
        <v>500</v>
      </c>
      <c r="AI34" s="59">
        <v>250</v>
      </c>
      <c r="AJ34" s="59">
        <v>200</v>
      </c>
      <c r="AK34" s="59">
        <v>100</v>
      </c>
      <c r="AL34" s="59">
        <v>100</v>
      </c>
      <c r="AM34" s="59">
        <v>50</v>
      </c>
      <c r="AN34" s="59">
        <v>50</v>
      </c>
      <c r="AO34" s="59">
        <v>50</v>
      </c>
      <c r="AP34" s="59">
        <v>250</v>
      </c>
      <c r="AQ34" s="59">
        <v>250</v>
      </c>
      <c r="AR34" s="59">
        <v>250</v>
      </c>
      <c r="AS34" s="59">
        <v>0</v>
      </c>
      <c r="AT34" s="59">
        <v>0</v>
      </c>
      <c r="AU34" s="59">
        <v>0</v>
      </c>
      <c r="AV34" s="59">
        <v>2550</v>
      </c>
      <c r="AW34" t="s" s="63">
        <v>154</v>
      </c>
    </row>
    <row r="35" ht="20.2" customHeight="1">
      <c r="A35" s="60">
        <v>421</v>
      </c>
      <c r="B35" s="60">
        <v>10016</v>
      </c>
      <c r="C35" s="60">
        <v>2606110417</v>
      </c>
      <c r="D35" s="61">
        <v>46194</v>
      </c>
      <c r="E35" t="s" s="97">
        <v>155</v>
      </c>
      <c r="F35" s="98">
        <v>8989183898</v>
      </c>
      <c r="G35" s="99"/>
      <c r="H35" t="s" s="100">
        <v>59</v>
      </c>
      <c r="I35" t="s" s="100">
        <v>52</v>
      </c>
      <c r="J35" t="s" s="100">
        <v>53</v>
      </c>
      <c r="K35" t="s" s="100">
        <v>156</v>
      </c>
      <c r="L35" t="s" s="100">
        <v>157</v>
      </c>
      <c r="M35" t="s" s="100">
        <v>103</v>
      </c>
      <c r="N35" s="101">
        <v>462026</v>
      </c>
      <c r="O35" s="102">
        <v>999</v>
      </c>
      <c r="P35" s="102">
        <v>49.95</v>
      </c>
      <c r="Q35" s="102">
        <v>0</v>
      </c>
      <c r="R35" s="102">
        <v>1048.95</v>
      </c>
      <c r="S35" s="102">
        <v>0</v>
      </c>
      <c r="T35" s="99"/>
      <c r="U35" t="s" s="100">
        <v>56</v>
      </c>
      <c r="V35" s="104">
        <v>46049.5</v>
      </c>
      <c r="W35" s="105">
        <v>6</v>
      </c>
      <c r="X35" s="106">
        <v>46199</v>
      </c>
      <c r="Y35" s="106">
        <v>46205</v>
      </c>
      <c r="Z35" s="106">
        <v>46211</v>
      </c>
      <c r="AA35" s="106">
        <v>46217</v>
      </c>
      <c r="AB35" s="106">
        <v>46223</v>
      </c>
      <c r="AC35" s="106">
        <v>46228</v>
      </c>
      <c r="AD35" s="106"/>
      <c r="AE35" s="106"/>
      <c r="AF35" s="106"/>
      <c r="AG35" s="107">
        <v>500</v>
      </c>
      <c r="AH35" s="107">
        <v>500</v>
      </c>
      <c r="AI35" s="107">
        <v>250</v>
      </c>
      <c r="AJ35" s="107">
        <v>200</v>
      </c>
      <c r="AK35" s="107">
        <v>100</v>
      </c>
      <c r="AL35" s="107">
        <v>100</v>
      </c>
      <c r="AM35" s="107">
        <v>50</v>
      </c>
      <c r="AN35" s="107">
        <v>50</v>
      </c>
      <c r="AO35" s="107">
        <v>50</v>
      </c>
      <c r="AP35" s="107">
        <v>250</v>
      </c>
      <c r="AQ35" s="107">
        <v>250</v>
      </c>
      <c r="AR35" s="107">
        <v>250</v>
      </c>
      <c r="AS35" s="107">
        <v>0</v>
      </c>
      <c r="AT35" s="107">
        <v>0</v>
      </c>
      <c r="AU35" s="107">
        <v>0</v>
      </c>
      <c r="AV35" s="108">
        <v>2550</v>
      </c>
      <c r="AW35" t="s" s="100">
        <v>158</v>
      </c>
    </row>
    <row r="36" ht="20.2" customHeight="1">
      <c r="A36" s="47">
        <v>422</v>
      </c>
      <c r="B36" s="47">
        <v>10005</v>
      </c>
      <c r="C36" s="47">
        <v>2606110418</v>
      </c>
      <c r="D36" s="48">
        <v>46194</v>
      </c>
      <c r="E36" t="s" s="49">
        <v>159</v>
      </c>
      <c r="F36" s="50">
        <v>7007511299</v>
      </c>
      <c r="G36" s="53"/>
      <c r="H36" t="s" s="63">
        <v>130</v>
      </c>
      <c r="I36" t="s" s="63">
        <v>52</v>
      </c>
      <c r="J36" t="s" s="63">
        <v>53</v>
      </c>
      <c r="K36" t="s" s="63">
        <v>160</v>
      </c>
      <c r="L36" t="s" s="63">
        <v>161</v>
      </c>
      <c r="M36" t="s" s="63">
        <v>162</v>
      </c>
      <c r="N36" s="125">
        <v>462039</v>
      </c>
      <c r="O36" s="67">
        <v>750</v>
      </c>
      <c r="P36" s="67">
        <v>37.5</v>
      </c>
      <c r="Q36" s="67">
        <v>0</v>
      </c>
      <c r="R36" s="67">
        <v>0</v>
      </c>
      <c r="S36" s="67">
        <v>787.5</v>
      </c>
      <c r="T36" s="126"/>
      <c r="U36" t="s" s="63">
        <v>56</v>
      </c>
      <c r="V36" s="68">
        <v>46030.791666666664</v>
      </c>
      <c r="W36" s="69">
        <v>5</v>
      </c>
      <c r="X36" s="56"/>
      <c r="Y36" s="125">
        <v>7</v>
      </c>
      <c r="Z36" s="125">
        <v>14</v>
      </c>
      <c r="AA36" s="125">
        <v>21</v>
      </c>
      <c r="AB36" s="125">
        <v>28</v>
      </c>
      <c r="AC36" s="70"/>
      <c r="AD36" s="70"/>
      <c r="AE36" s="70"/>
      <c r="AF36" s="70"/>
      <c r="AG36" s="59">
        <v>250</v>
      </c>
      <c r="AH36" s="59">
        <v>250</v>
      </c>
      <c r="AI36" s="59">
        <v>150</v>
      </c>
      <c r="AJ36" s="59">
        <v>120</v>
      </c>
      <c r="AK36" s="59">
        <v>60</v>
      </c>
      <c r="AL36" s="59">
        <v>60</v>
      </c>
      <c r="AM36" s="59">
        <v>50</v>
      </c>
      <c r="AN36" s="59">
        <v>50</v>
      </c>
      <c r="AO36" s="59">
        <v>50</v>
      </c>
      <c r="AP36" s="59">
        <v>200</v>
      </c>
      <c r="AQ36" s="59">
        <v>200</v>
      </c>
      <c r="AR36" t="s" s="63">
        <v>62</v>
      </c>
      <c r="AS36" t="s" s="63">
        <v>62</v>
      </c>
      <c r="AT36" t="s" s="63">
        <v>62</v>
      </c>
      <c r="AU36" t="s" s="63">
        <v>62</v>
      </c>
      <c r="AV36" s="59">
        <v>1440</v>
      </c>
      <c r="AW36" s="59"/>
    </row>
    <row r="37" ht="20.2" customHeight="1">
      <c r="A37" s="84">
        <v>423</v>
      </c>
      <c r="B37" s="84">
        <v>10292</v>
      </c>
      <c r="C37" s="84">
        <v>2606110419</v>
      </c>
      <c r="D37" s="85">
        <v>46194</v>
      </c>
      <c r="E37" t="s" s="86">
        <v>163</v>
      </c>
      <c r="F37" s="87">
        <v>8109393122</v>
      </c>
      <c r="G37" s="88"/>
      <c r="H37" t="s" s="89">
        <v>71</v>
      </c>
      <c r="I37" t="s" s="89">
        <v>111</v>
      </c>
      <c r="J37" t="s" s="89">
        <v>53</v>
      </c>
      <c r="K37" s="88"/>
      <c r="L37" t="s" s="89">
        <v>164</v>
      </c>
      <c r="M37" t="s" s="89">
        <v>55</v>
      </c>
      <c r="N37" s="90">
        <v>462039</v>
      </c>
      <c r="O37" s="127">
        <v>1000</v>
      </c>
      <c r="P37" s="127">
        <v>37.5</v>
      </c>
      <c r="Q37" s="127">
        <v>0</v>
      </c>
      <c r="R37" s="127">
        <v>1000</v>
      </c>
      <c r="S37" s="127">
        <v>0</v>
      </c>
      <c r="T37" s="91"/>
      <c r="U37" t="s" s="89">
        <v>56</v>
      </c>
      <c r="V37" s="92">
        <v>46052.458333333336</v>
      </c>
      <c r="W37" s="93">
        <v>5</v>
      </c>
      <c r="X37" s="94">
        <v>46197</v>
      </c>
      <c r="Y37" s="94">
        <v>46203</v>
      </c>
      <c r="Z37" s="94">
        <v>46210</v>
      </c>
      <c r="AA37" s="94">
        <v>46217</v>
      </c>
      <c r="AB37" s="94">
        <v>46224</v>
      </c>
      <c r="AC37" s="94"/>
      <c r="AD37" s="94"/>
      <c r="AE37" s="94"/>
      <c r="AF37" s="94"/>
      <c r="AG37" s="95"/>
      <c r="AH37" s="95"/>
      <c r="AI37" s="95">
        <v>500</v>
      </c>
      <c r="AJ37" s="95">
        <v>750</v>
      </c>
      <c r="AK37" s="95">
        <v>30</v>
      </c>
      <c r="AL37" s="95">
        <v>30</v>
      </c>
      <c r="AM37" s="95">
        <v>30</v>
      </c>
      <c r="AN37" s="95">
        <v>30</v>
      </c>
      <c r="AO37" s="95"/>
      <c r="AP37" s="95">
        <v>200</v>
      </c>
      <c r="AQ37" s="95">
        <v>200</v>
      </c>
      <c r="AR37" s="95">
        <v>200</v>
      </c>
      <c r="AS37" s="95">
        <v>200</v>
      </c>
      <c r="AT37" s="95">
        <v>200</v>
      </c>
      <c r="AU37" t="s" s="89">
        <v>62</v>
      </c>
      <c r="AV37" s="96">
        <v>2370</v>
      </c>
      <c r="AW37" s="95"/>
    </row>
    <row r="38" ht="20.2" customHeight="1">
      <c r="A38" s="47">
        <v>425</v>
      </c>
      <c r="B38" s="47">
        <v>10221</v>
      </c>
      <c r="C38" s="47">
        <v>2606110421</v>
      </c>
      <c r="D38" s="48">
        <v>46202</v>
      </c>
      <c r="E38" t="s" s="49">
        <v>165</v>
      </c>
      <c r="F38" s="50">
        <v>9425607019</v>
      </c>
      <c r="G38" s="53"/>
      <c r="H38" t="s" s="52">
        <v>71</v>
      </c>
      <c r="I38" t="s" s="52">
        <v>52</v>
      </c>
      <c r="J38" t="s" s="52">
        <v>53</v>
      </c>
      <c r="K38" s="53"/>
      <c r="L38" t="s" s="52">
        <v>166</v>
      </c>
      <c r="M38" t="s" s="52">
        <v>167</v>
      </c>
      <c r="N38" s="51">
        <v>462039</v>
      </c>
      <c r="O38" s="67">
        <v>900</v>
      </c>
      <c r="P38" s="67">
        <v>45</v>
      </c>
      <c r="Q38" s="67">
        <v>0</v>
      </c>
      <c r="R38" s="67">
        <v>945</v>
      </c>
      <c r="S38" s="67">
        <v>0</v>
      </c>
      <c r="T38" s="53"/>
      <c r="U38" t="s" s="52">
        <v>56</v>
      </c>
      <c r="V38" s="55">
        <v>46052.583333333336</v>
      </c>
      <c r="W38" s="51">
        <v>5</v>
      </c>
      <c r="X38" s="56">
        <v>46209</v>
      </c>
      <c r="Y38" s="56">
        <v>46216</v>
      </c>
      <c r="Z38" s="56">
        <v>46223</v>
      </c>
      <c r="AA38" s="56">
        <v>46230</v>
      </c>
      <c r="AB38" s="56">
        <v>46237</v>
      </c>
      <c r="AC38" s="56"/>
      <c r="AD38" s="56"/>
      <c r="AE38" s="56"/>
      <c r="AF38" s="56"/>
      <c r="AG38" s="57">
        <v>250</v>
      </c>
      <c r="AH38" s="57">
        <v>250</v>
      </c>
      <c r="AI38" s="57">
        <v>150</v>
      </c>
      <c r="AJ38" s="57">
        <v>120</v>
      </c>
      <c r="AK38" s="57">
        <v>60</v>
      </c>
      <c r="AL38" s="57">
        <v>60</v>
      </c>
      <c r="AM38" s="57">
        <v>50</v>
      </c>
      <c r="AN38" s="57">
        <v>50</v>
      </c>
      <c r="AO38" s="57">
        <v>50</v>
      </c>
      <c r="AP38" s="57">
        <v>200</v>
      </c>
      <c r="AQ38" s="57">
        <v>200</v>
      </c>
      <c r="AR38" t="s" s="52">
        <v>62</v>
      </c>
      <c r="AS38" t="s" s="52">
        <v>62</v>
      </c>
      <c r="AT38" t="s" s="52">
        <v>62</v>
      </c>
      <c r="AU38" t="s" s="52">
        <v>62</v>
      </c>
      <c r="AV38" s="59">
        <v>1440</v>
      </c>
      <c r="AW38" s="53"/>
    </row>
    <row r="39" ht="20.2" customHeight="1">
      <c r="A39" s="47">
        <v>426</v>
      </c>
      <c r="B39" s="47">
        <v>10277</v>
      </c>
      <c r="C39" s="47">
        <v>2606110422</v>
      </c>
      <c r="D39" s="48">
        <v>46202</v>
      </c>
      <c r="E39" t="s" s="49">
        <v>168</v>
      </c>
      <c r="F39" s="50">
        <v>9993150174</v>
      </c>
      <c r="G39" s="51">
        <v>9981501740</v>
      </c>
      <c r="H39" t="s" s="52">
        <v>59</v>
      </c>
      <c r="I39" t="s" s="52">
        <v>52</v>
      </c>
      <c r="J39" t="s" s="52">
        <v>53</v>
      </c>
      <c r="K39" t="s" s="52">
        <v>169</v>
      </c>
      <c r="L39" t="s" s="52">
        <v>170</v>
      </c>
      <c r="M39" t="s" s="52">
        <v>171</v>
      </c>
      <c r="N39" s="51">
        <v>462016</v>
      </c>
      <c r="O39" s="54">
        <v>1499</v>
      </c>
      <c r="P39" s="54">
        <v>74.95</v>
      </c>
      <c r="Q39" s="54">
        <v>74.95</v>
      </c>
      <c r="R39" s="54">
        <v>0</v>
      </c>
      <c r="S39" s="54">
        <v>1499</v>
      </c>
      <c r="T39" s="53"/>
      <c r="U39" t="s" s="52">
        <v>56</v>
      </c>
      <c r="V39" s="55">
        <v>46080.958333333336</v>
      </c>
      <c r="W39" s="51">
        <v>6</v>
      </c>
      <c r="X39" s="56">
        <v>46204</v>
      </c>
      <c r="Y39" s="56">
        <v>46210</v>
      </c>
      <c r="Z39" s="56">
        <v>46216</v>
      </c>
      <c r="AA39" s="56">
        <v>46222</v>
      </c>
      <c r="AB39" s="56">
        <v>46228</v>
      </c>
      <c r="AC39" s="56">
        <v>46234</v>
      </c>
      <c r="AD39" s="56"/>
      <c r="AE39" s="56"/>
      <c r="AF39" s="56"/>
      <c r="AG39" s="57">
        <v>500</v>
      </c>
      <c r="AH39" s="57">
        <v>500</v>
      </c>
      <c r="AI39" s="57">
        <v>250</v>
      </c>
      <c r="AJ39" s="57">
        <v>200</v>
      </c>
      <c r="AK39" s="57">
        <v>100</v>
      </c>
      <c r="AL39" s="57">
        <v>100</v>
      </c>
      <c r="AM39" s="57">
        <v>50</v>
      </c>
      <c r="AN39" s="57">
        <v>50</v>
      </c>
      <c r="AO39" s="57">
        <v>50</v>
      </c>
      <c r="AP39" s="57">
        <v>250</v>
      </c>
      <c r="AQ39" s="57">
        <v>250</v>
      </c>
      <c r="AR39" s="57">
        <v>250</v>
      </c>
      <c r="AS39" t="s" s="52">
        <v>62</v>
      </c>
      <c r="AT39" t="s" s="52">
        <v>62</v>
      </c>
      <c r="AU39" t="s" s="52">
        <v>62</v>
      </c>
      <c r="AV39" s="57">
        <v>2550</v>
      </c>
      <c r="AW39" s="53"/>
    </row>
    <row r="40" ht="20.2" customHeight="1">
      <c r="A40" s="47">
        <v>428</v>
      </c>
      <c r="B40" s="47">
        <v>10207</v>
      </c>
      <c r="C40" s="47">
        <v>2606110424</v>
      </c>
      <c r="D40" s="48">
        <v>46202</v>
      </c>
      <c r="E40" t="s" s="49">
        <v>172</v>
      </c>
      <c r="F40" s="50">
        <v>8518839051</v>
      </c>
      <c r="G40" s="53"/>
      <c r="H40" t="s" s="52">
        <v>59</v>
      </c>
      <c r="I40" t="s" s="52">
        <v>52</v>
      </c>
      <c r="J40" t="s" s="52">
        <v>53</v>
      </c>
      <c r="K40" s="53"/>
      <c r="L40" t="s" s="63">
        <v>173</v>
      </c>
      <c r="M40" t="s" s="63">
        <v>127</v>
      </c>
      <c r="N40" s="125">
        <v>462026</v>
      </c>
      <c r="O40" s="67">
        <v>1500</v>
      </c>
      <c r="P40" s="67">
        <v>75</v>
      </c>
      <c r="Q40" s="67">
        <v>75</v>
      </c>
      <c r="R40" s="67">
        <v>0</v>
      </c>
      <c r="S40" s="67">
        <v>1500</v>
      </c>
      <c r="T40" s="54"/>
      <c r="U40" t="s" s="52">
        <v>56</v>
      </c>
      <c r="V40" s="55">
        <v>46052.583333333336</v>
      </c>
      <c r="W40" s="51">
        <v>6</v>
      </c>
      <c r="X40" s="56">
        <v>46205</v>
      </c>
      <c r="Y40" s="56">
        <v>46211</v>
      </c>
      <c r="Z40" s="56">
        <v>46217</v>
      </c>
      <c r="AA40" s="56">
        <v>46223</v>
      </c>
      <c r="AB40" s="56">
        <v>46228</v>
      </c>
      <c r="AC40" s="56">
        <v>46234</v>
      </c>
      <c r="AD40" s="56"/>
      <c r="AE40" s="56"/>
      <c r="AF40" s="56"/>
      <c r="AG40" s="57">
        <v>750</v>
      </c>
      <c r="AH40" s="57">
        <v>750</v>
      </c>
      <c r="AI40" s="57">
        <v>500</v>
      </c>
      <c r="AJ40" s="57">
        <v>500</v>
      </c>
      <c r="AK40" s="57">
        <v>60</v>
      </c>
      <c r="AL40" s="57"/>
      <c r="AM40" s="57"/>
      <c r="AN40" s="57">
        <v>50</v>
      </c>
      <c r="AO40" s="57">
        <v>50</v>
      </c>
      <c r="AP40" s="57">
        <v>500</v>
      </c>
      <c r="AQ40" s="57">
        <v>500</v>
      </c>
      <c r="AR40" s="57">
        <v>500</v>
      </c>
      <c r="AS40" t="s" s="52">
        <v>62</v>
      </c>
      <c r="AT40" t="s" s="52">
        <v>62</v>
      </c>
      <c r="AU40" t="s" s="52">
        <v>62</v>
      </c>
      <c r="AV40" s="59">
        <v>1440</v>
      </c>
      <c r="AW40" t="s" s="52">
        <v>174</v>
      </c>
    </row>
    <row r="41" ht="20.2" customHeight="1">
      <c r="A41" s="47">
        <v>430</v>
      </c>
      <c r="B41" s="47">
        <v>10250</v>
      </c>
      <c r="C41" s="47">
        <v>2606110426</v>
      </c>
      <c r="D41" s="48">
        <v>46202</v>
      </c>
      <c r="E41" t="s" s="49">
        <v>175</v>
      </c>
      <c r="F41" s="50">
        <v>7447879438</v>
      </c>
      <c r="G41" s="53"/>
      <c r="H41" t="s" s="52">
        <v>59</v>
      </c>
      <c r="I41" t="s" s="52">
        <v>52</v>
      </c>
      <c r="J41" t="s" s="52">
        <v>53</v>
      </c>
      <c r="K41" s="53"/>
      <c r="L41" t="s" s="52">
        <v>176</v>
      </c>
      <c r="M41" t="s" s="52">
        <v>177</v>
      </c>
      <c r="N41" s="51">
        <v>462026</v>
      </c>
      <c r="O41" s="54">
        <v>1499</v>
      </c>
      <c r="P41" s="54">
        <v>74.95</v>
      </c>
      <c r="Q41" s="54">
        <v>74.95</v>
      </c>
      <c r="R41" s="54">
        <v>0</v>
      </c>
      <c r="S41" s="54">
        <v>1499</v>
      </c>
      <c r="T41" s="53"/>
      <c r="U41" t="s" s="52">
        <v>56</v>
      </c>
      <c r="V41" s="55">
        <v>46080.75</v>
      </c>
      <c r="W41" s="51">
        <v>6</v>
      </c>
      <c r="X41" s="56">
        <v>46209</v>
      </c>
      <c r="Y41" s="56">
        <v>46214</v>
      </c>
      <c r="Z41" s="56">
        <v>46220</v>
      </c>
      <c r="AA41" s="56">
        <v>46226</v>
      </c>
      <c r="AB41" s="56">
        <v>46232</v>
      </c>
      <c r="AC41" s="56">
        <v>46238</v>
      </c>
      <c r="AD41" s="56"/>
      <c r="AE41" s="56"/>
      <c r="AF41" s="56"/>
      <c r="AG41" s="57">
        <v>500</v>
      </c>
      <c r="AH41" s="57">
        <v>500</v>
      </c>
      <c r="AI41" s="57">
        <v>250</v>
      </c>
      <c r="AJ41" s="57">
        <v>200</v>
      </c>
      <c r="AK41" s="57">
        <v>100</v>
      </c>
      <c r="AL41" s="57">
        <v>100</v>
      </c>
      <c r="AM41" s="57">
        <v>50</v>
      </c>
      <c r="AN41" s="57">
        <v>50</v>
      </c>
      <c r="AO41" s="57">
        <v>50</v>
      </c>
      <c r="AP41" s="57">
        <v>250</v>
      </c>
      <c r="AQ41" s="57">
        <v>250</v>
      </c>
      <c r="AR41" s="57">
        <v>250</v>
      </c>
      <c r="AS41" t="s" s="52">
        <v>62</v>
      </c>
      <c r="AT41" t="s" s="52">
        <v>62</v>
      </c>
      <c r="AU41" t="s" s="52">
        <v>62</v>
      </c>
      <c r="AV41" s="57">
        <v>2550</v>
      </c>
      <c r="AW41" s="53"/>
    </row>
    <row r="42" ht="20.2" customHeight="1">
      <c r="A42" s="47">
        <v>431</v>
      </c>
      <c r="B42" s="47">
        <v>10232</v>
      </c>
      <c r="C42" s="47">
        <v>2606110427</v>
      </c>
      <c r="D42" s="48">
        <v>46199</v>
      </c>
      <c r="E42" t="s" s="49">
        <v>178</v>
      </c>
      <c r="F42" s="50">
        <v>9522888864</v>
      </c>
      <c r="G42" s="53"/>
      <c r="H42" t="s" s="52">
        <v>59</v>
      </c>
      <c r="I42" t="s" s="52">
        <v>52</v>
      </c>
      <c r="J42" t="s" s="52">
        <v>53</v>
      </c>
      <c r="K42" s="53"/>
      <c r="L42" t="s" s="52">
        <v>179</v>
      </c>
      <c r="M42" t="s" s="52">
        <v>180</v>
      </c>
      <c r="N42" s="51">
        <v>462039</v>
      </c>
      <c r="O42" s="67">
        <v>1499</v>
      </c>
      <c r="P42" s="67">
        <v>74.95</v>
      </c>
      <c r="Q42" s="67">
        <v>74.95</v>
      </c>
      <c r="R42" s="67">
        <v>1500</v>
      </c>
      <c r="S42" s="67">
        <v>0</v>
      </c>
      <c r="T42" s="53"/>
      <c r="U42" t="s" s="52">
        <v>56</v>
      </c>
      <c r="V42" s="55">
        <v>46080.541666666664</v>
      </c>
      <c r="W42" s="51">
        <v>6</v>
      </c>
      <c r="X42" s="56">
        <v>46209</v>
      </c>
      <c r="Y42" s="56">
        <v>46214</v>
      </c>
      <c r="Z42" s="56">
        <v>46220</v>
      </c>
      <c r="AA42" s="56">
        <v>46226</v>
      </c>
      <c r="AB42" s="56">
        <v>46232</v>
      </c>
      <c r="AC42" s="56">
        <v>46238</v>
      </c>
      <c r="AD42" s="56"/>
      <c r="AE42" s="56"/>
      <c r="AF42" s="56"/>
      <c r="AG42" s="57">
        <v>500</v>
      </c>
      <c r="AH42" s="57">
        <v>500</v>
      </c>
      <c r="AI42" s="57">
        <v>250</v>
      </c>
      <c r="AJ42" s="57">
        <v>200</v>
      </c>
      <c r="AK42" s="57">
        <v>100</v>
      </c>
      <c r="AL42" s="57">
        <v>100</v>
      </c>
      <c r="AM42" s="57">
        <v>50</v>
      </c>
      <c r="AN42" s="57">
        <v>50</v>
      </c>
      <c r="AO42" s="57">
        <v>50</v>
      </c>
      <c r="AP42" s="57">
        <v>250</v>
      </c>
      <c r="AQ42" s="57">
        <v>250</v>
      </c>
      <c r="AR42" s="57">
        <v>250</v>
      </c>
      <c r="AS42" t="s" s="52">
        <v>62</v>
      </c>
      <c r="AT42" t="s" s="52">
        <v>62</v>
      </c>
      <c r="AU42" t="s" s="52">
        <v>62</v>
      </c>
      <c r="AV42" s="59">
        <v>2550</v>
      </c>
      <c r="AW42" s="53"/>
    </row>
    <row r="43" ht="20.2" customHeight="1">
      <c r="A43" s="47">
        <v>432</v>
      </c>
      <c r="B43" s="47">
        <v>10151</v>
      </c>
      <c r="C43" s="47">
        <v>2606110428</v>
      </c>
      <c r="D43" s="48">
        <v>46202</v>
      </c>
      <c r="E43" t="s" s="49">
        <v>181</v>
      </c>
      <c r="F43" s="58">
        <v>8435003605</v>
      </c>
      <c r="G43" s="51">
        <v>8989210843</v>
      </c>
      <c r="H43" t="s" s="52">
        <v>59</v>
      </c>
      <c r="I43" t="s" s="52">
        <v>52</v>
      </c>
      <c r="J43" t="s" s="52">
        <v>53</v>
      </c>
      <c r="K43" s="53"/>
      <c r="L43" t="s" s="52">
        <v>182</v>
      </c>
      <c r="M43" t="s" s="52">
        <v>61</v>
      </c>
      <c r="N43" s="51">
        <v>462039</v>
      </c>
      <c r="O43" s="54">
        <v>1500</v>
      </c>
      <c r="P43" s="54">
        <v>75</v>
      </c>
      <c r="Q43" s="54">
        <v>75</v>
      </c>
      <c r="R43" s="54">
        <v>1500</v>
      </c>
      <c r="S43" s="54">
        <v>0</v>
      </c>
      <c r="T43" s="53"/>
      <c r="U43" t="s" s="52">
        <v>56</v>
      </c>
      <c r="V43" s="55">
        <v>46080.541666666664</v>
      </c>
      <c r="W43" s="51">
        <v>6</v>
      </c>
      <c r="X43" s="56">
        <v>46207</v>
      </c>
      <c r="Y43" s="56">
        <v>46213</v>
      </c>
      <c r="Z43" s="56">
        <v>46219</v>
      </c>
      <c r="AA43" s="56">
        <v>46225</v>
      </c>
      <c r="AB43" s="56">
        <v>46231</v>
      </c>
      <c r="AC43" s="56">
        <v>46237</v>
      </c>
      <c r="AD43" s="56"/>
      <c r="AE43" s="56"/>
      <c r="AF43" s="56"/>
      <c r="AG43" s="57">
        <v>500</v>
      </c>
      <c r="AH43" s="57">
        <v>500</v>
      </c>
      <c r="AI43" s="57">
        <v>250</v>
      </c>
      <c r="AJ43" s="57">
        <v>200</v>
      </c>
      <c r="AK43" s="57">
        <v>100</v>
      </c>
      <c r="AL43" s="57">
        <v>100</v>
      </c>
      <c r="AM43" s="57">
        <v>50</v>
      </c>
      <c r="AN43" s="57">
        <v>50</v>
      </c>
      <c r="AO43" s="57">
        <v>50</v>
      </c>
      <c r="AP43" s="57">
        <v>250</v>
      </c>
      <c r="AQ43" s="57">
        <v>250</v>
      </c>
      <c r="AR43" s="57">
        <v>250</v>
      </c>
      <c r="AS43" t="s" s="52">
        <v>62</v>
      </c>
      <c r="AT43" t="s" s="52">
        <v>62</v>
      </c>
      <c r="AU43" t="s" s="52">
        <v>62</v>
      </c>
      <c r="AV43" s="59">
        <v>2550</v>
      </c>
      <c r="AW43" s="57"/>
    </row>
    <row r="44" ht="32.2" customHeight="1">
      <c r="A44" s="128">
        <v>433</v>
      </c>
      <c r="B44" s="128">
        <v>10294</v>
      </c>
      <c r="C44" s="128">
        <v>2607110429</v>
      </c>
      <c r="D44" s="129">
        <v>46204</v>
      </c>
      <c r="E44" t="s" s="130">
        <v>183</v>
      </c>
      <c r="F44" s="131">
        <v>9685911064</v>
      </c>
      <c r="G44" s="132"/>
      <c r="H44" t="s" s="133">
        <v>107</v>
      </c>
      <c r="I44" t="s" s="133">
        <v>111</v>
      </c>
      <c r="J44" t="s" s="133">
        <v>53</v>
      </c>
      <c r="K44" s="132"/>
      <c r="L44" t="s" s="89">
        <v>184</v>
      </c>
      <c r="M44" t="s" s="89">
        <v>185</v>
      </c>
      <c r="N44" s="90">
        <v>462039</v>
      </c>
      <c r="O44" s="127">
        <v>1000</v>
      </c>
      <c r="P44" s="127">
        <v>37.5</v>
      </c>
      <c r="Q44" s="127">
        <v>0</v>
      </c>
      <c r="R44" s="127">
        <v>1000</v>
      </c>
      <c r="S44" s="127">
        <v>0</v>
      </c>
      <c r="T44" s="91"/>
      <c r="U44" t="s" s="89">
        <v>56</v>
      </c>
      <c r="V44" s="92">
        <v>46052.458333333336</v>
      </c>
      <c r="W44" s="93">
        <v>5</v>
      </c>
      <c r="X44" s="94">
        <v>46206</v>
      </c>
      <c r="Y44" s="94">
        <v>46213</v>
      </c>
      <c r="Z44" s="94">
        <v>46220</v>
      </c>
      <c r="AA44" s="94">
        <v>46227</v>
      </c>
      <c r="AB44" s="94">
        <v>46234</v>
      </c>
      <c r="AC44" s="94"/>
      <c r="AD44" s="94"/>
      <c r="AE44" s="94"/>
      <c r="AF44" s="94"/>
      <c r="AG44" s="95"/>
      <c r="AH44" s="95"/>
      <c r="AI44" s="95">
        <v>500</v>
      </c>
      <c r="AJ44" s="95">
        <v>750</v>
      </c>
      <c r="AK44" s="95">
        <v>30</v>
      </c>
      <c r="AL44" s="95">
        <v>30</v>
      </c>
      <c r="AM44" s="95">
        <v>30</v>
      </c>
      <c r="AN44" s="95">
        <v>30</v>
      </c>
      <c r="AO44" s="95"/>
      <c r="AP44" s="95">
        <v>200</v>
      </c>
      <c r="AQ44" s="95">
        <v>200</v>
      </c>
      <c r="AR44" s="95">
        <v>200</v>
      </c>
      <c r="AS44" s="95">
        <v>200</v>
      </c>
      <c r="AT44" s="95"/>
      <c r="AU44" t="s" s="89">
        <v>62</v>
      </c>
      <c r="AV44" s="96">
        <v>2170</v>
      </c>
      <c r="AW44" s="95"/>
    </row>
    <row r="45" ht="20.2" customHeight="1">
      <c r="A45" s="128">
        <v>436</v>
      </c>
      <c r="B45" s="128">
        <v>10297</v>
      </c>
      <c r="C45" s="128">
        <v>2607110432</v>
      </c>
      <c r="D45" s="129">
        <v>46207</v>
      </c>
      <c r="E45" t="s" s="130">
        <v>186</v>
      </c>
      <c r="F45" s="131">
        <v>9826162081</v>
      </c>
      <c r="G45" s="132"/>
      <c r="H45" t="s" s="133">
        <v>59</v>
      </c>
      <c r="I45" t="s" s="133">
        <v>111</v>
      </c>
      <c r="J45" t="s" s="133">
        <v>53</v>
      </c>
      <c r="K45" s="132"/>
      <c r="L45" t="s" s="89">
        <v>187</v>
      </c>
      <c r="M45" t="s" s="89">
        <v>86</v>
      </c>
      <c r="N45" s="90">
        <v>462039</v>
      </c>
      <c r="O45" s="127">
        <v>1500</v>
      </c>
      <c r="P45" s="127">
        <v>75</v>
      </c>
      <c r="Q45" s="127">
        <v>0</v>
      </c>
      <c r="R45" s="127">
        <v>1500</v>
      </c>
      <c r="S45" s="127">
        <v>0</v>
      </c>
      <c r="T45" t="s" s="89">
        <v>188</v>
      </c>
      <c r="U45" t="s" s="89">
        <v>56</v>
      </c>
      <c r="V45" s="92">
        <v>46052.458333333336</v>
      </c>
      <c r="W45" s="93">
        <v>6</v>
      </c>
      <c r="X45" s="94">
        <v>46207</v>
      </c>
      <c r="Y45" s="94">
        <v>46213</v>
      </c>
      <c r="Z45" s="94">
        <v>46219</v>
      </c>
      <c r="AA45" s="94">
        <v>46225</v>
      </c>
      <c r="AB45" s="94">
        <v>46231</v>
      </c>
      <c r="AC45" s="94">
        <v>46237</v>
      </c>
      <c r="AD45" s="94"/>
      <c r="AE45" s="94"/>
      <c r="AF45" s="94"/>
      <c r="AG45" s="134">
        <v>1000</v>
      </c>
      <c r="AH45" s="134">
        <v>0</v>
      </c>
      <c r="AI45" s="134">
        <v>250</v>
      </c>
      <c r="AJ45" s="134">
        <v>250</v>
      </c>
      <c r="AK45" s="134">
        <v>100</v>
      </c>
      <c r="AL45" s="134">
        <v>0</v>
      </c>
      <c r="AM45" s="134">
        <v>100</v>
      </c>
      <c r="AN45" s="134">
        <v>80</v>
      </c>
      <c r="AO45" s="134">
        <v>50</v>
      </c>
      <c r="AP45" s="134">
        <v>250</v>
      </c>
      <c r="AQ45" s="134">
        <v>250</v>
      </c>
      <c r="AR45" s="134">
        <v>250</v>
      </c>
      <c r="AS45" s="134">
        <v>250</v>
      </c>
      <c r="AT45" t="s" s="133">
        <v>62</v>
      </c>
      <c r="AU45" t="s" s="133">
        <v>62</v>
      </c>
      <c r="AV45" s="134">
        <v>2550</v>
      </c>
      <c r="AW45" s="135"/>
    </row>
    <row r="46" ht="20.2" customHeight="1">
      <c r="A46" s="47">
        <v>437</v>
      </c>
      <c r="B46" s="47">
        <v>10278</v>
      </c>
      <c r="C46" s="47">
        <v>2607110433</v>
      </c>
      <c r="D46" s="48">
        <v>46209</v>
      </c>
      <c r="E46" t="s" s="49">
        <v>189</v>
      </c>
      <c r="F46" s="50">
        <v>8109061169</v>
      </c>
      <c r="G46" s="51">
        <v>8435161169</v>
      </c>
      <c r="H46" t="s" s="52">
        <v>59</v>
      </c>
      <c r="I46" t="s" s="52">
        <v>111</v>
      </c>
      <c r="J46" t="s" s="52">
        <v>53</v>
      </c>
      <c r="K46" t="s" s="52">
        <v>190</v>
      </c>
      <c r="L46" t="s" s="52">
        <v>191</v>
      </c>
      <c r="M46" t="s" s="52">
        <v>140</v>
      </c>
      <c r="N46" s="51">
        <v>462016</v>
      </c>
      <c r="O46" s="54">
        <v>1499</v>
      </c>
      <c r="P46" s="54">
        <v>74.95</v>
      </c>
      <c r="Q46" s="54">
        <v>74.95</v>
      </c>
      <c r="R46" s="54">
        <v>0</v>
      </c>
      <c r="S46" s="54">
        <v>1499</v>
      </c>
      <c r="T46" s="53"/>
      <c r="U46" t="s" s="52">
        <v>56</v>
      </c>
      <c r="V46" s="55">
        <v>46080.75</v>
      </c>
      <c r="W46" s="51">
        <v>6</v>
      </c>
      <c r="X46" s="56">
        <v>46213</v>
      </c>
      <c r="Y46" s="56">
        <v>46219</v>
      </c>
      <c r="Z46" s="56">
        <v>46225</v>
      </c>
      <c r="AA46" s="56">
        <v>46231</v>
      </c>
      <c r="AB46" s="56">
        <v>46237</v>
      </c>
      <c r="AC46" s="56">
        <v>46242</v>
      </c>
      <c r="AD46" s="56"/>
      <c r="AE46" s="56"/>
      <c r="AF46" s="56"/>
      <c r="AG46" s="57">
        <v>500</v>
      </c>
      <c r="AH46" s="57">
        <v>500</v>
      </c>
      <c r="AI46" s="57">
        <v>250</v>
      </c>
      <c r="AJ46" s="57">
        <v>200</v>
      </c>
      <c r="AK46" s="57">
        <v>100</v>
      </c>
      <c r="AL46" s="57">
        <v>100</v>
      </c>
      <c r="AM46" s="57">
        <v>50</v>
      </c>
      <c r="AN46" s="57">
        <v>50</v>
      </c>
      <c r="AO46" s="57">
        <v>50</v>
      </c>
      <c r="AP46" s="57">
        <v>250</v>
      </c>
      <c r="AQ46" s="57">
        <v>250</v>
      </c>
      <c r="AR46" s="57">
        <v>250</v>
      </c>
      <c r="AS46" t="s" s="52">
        <v>62</v>
      </c>
      <c r="AT46" t="s" s="52">
        <v>62</v>
      </c>
      <c r="AU46" t="s" s="52">
        <v>62</v>
      </c>
      <c r="AV46" s="57">
        <v>2550</v>
      </c>
      <c r="AW46" s="53"/>
    </row>
  </sheetData>
  <mergeCells count="1">
    <mergeCell ref="A1:AW1"/>
  </mergeCells>
  <hyperlinks>
    <hyperlink ref="K39" r:id="rId1" location="" tooltip="" display="drnamita720@gmail.com"/>
    <hyperlink ref="K46" r:id="rId2" location="" tooltip="" display="SOWJANYAFEB12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