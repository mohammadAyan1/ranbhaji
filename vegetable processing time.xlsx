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able 1-1-2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<sst xmlns="http://schemas.openxmlformats.org/spreadsheetml/2006/main" uniqueCount="88">
  <si>
    <t>Table 1-1-2</t>
  </si>
  <si>
    <t>TYPE OF VEGETABLE</t>
  </si>
  <si>
    <t>DESCRIPTION</t>
  </si>
  <si>
    <t>ITEM PER PLAN (GRAMS)</t>
  </si>
  <si>
    <t>ITEM PER BATCH (GRAMS)</t>
  </si>
  <si>
    <r>
      <rPr>
        <b val="1"/>
        <sz val="10"/>
        <color indexed="8"/>
        <rFont val="Helvetica Neue"/>
      </rPr>
      <t xml:space="preserve">BATCH SORTING&amp; WEIGHING TIME (MINUTE)  </t>
    </r>
    <r>
      <rPr>
        <b val="1"/>
        <sz val="8"/>
        <color indexed="8"/>
        <rFont val="Helvetica Neue"/>
      </rPr>
      <t>(THIS IS WHEN THE TOTAL WEIGHT OF ITEN IN THE BATCH IS WEIGHED FOR FURTHER SOAKING THEN CLEANING , SORTING , CUTTING , WEIGHING INTO BASKETS AND THEN FINALLY READY FOR DELIVERY)</t>
    </r>
  </si>
  <si>
    <t>ITEM SOAK TIME FOR FULL BATCH (MINUTES)</t>
  </si>
  <si>
    <t>AVERAGE PIECES PER PLAN (NOS)/ 25gms</t>
  </si>
  <si>
    <t>TIME TO CLEAN 1 PIECE (MINUTES)</t>
  </si>
  <si>
    <t>TIME TO CLEAN PLAN WEIGHT (MINUTES)</t>
  </si>
  <si>
    <t>AVERAGE PIECES PER BATCH (NOS)</t>
  </si>
  <si>
    <t>TIME TO CLEAN PER BATCH (MINUTES)</t>
  </si>
  <si>
    <t>TIME TO DRY AND DRESS  PER BATCH (MINUTES)</t>
  </si>
  <si>
    <t>WEIGHING /BASKET SORTING/CUTTING PER PLAN (MINUTES)</t>
  </si>
  <si>
    <t>WEIGHING /BASKET SORTING/CUTTING PER BATCH (MINUTES)</t>
  </si>
  <si>
    <t>CLING WRAPPING  PER PLAN (MINUTES)</t>
  </si>
  <si>
    <t>CLING WRAPPING  PER BATCH (MINUTES)</t>
  </si>
  <si>
    <t>CHECKING AND PACKING PER PLAN (MINUTES)</t>
  </si>
  <si>
    <t>CHECKING AND PACKING PER BATCH (MINUTES)</t>
  </si>
  <si>
    <t>TOTAL TIME CONSUMED PER PLAN (MINUTES)</t>
  </si>
  <si>
    <t>TOTAL TIME CONSUMED PER BATCH (MINUTES) EXCEPT SOAKING AND DRYING</t>
  </si>
  <si>
    <t>TOTAL TIME CONSUMED PER BATCH (MINUTES) INCLUDING  SOAKING AND DRYING</t>
  </si>
  <si>
    <t>TOTAL TIME CONSUMED PER BATCH (HOUR)</t>
  </si>
  <si>
    <t>FIXED VEGETABLE</t>
  </si>
  <si>
    <t>Potato आलू (Aloo)</t>
  </si>
  <si>
    <t>Onion प्याज (Pyaz)</t>
  </si>
  <si>
    <t>Lemon नींबू (Nimbu)</t>
  </si>
  <si>
    <t>Garlic लहसुन (Lahsun)</t>
  </si>
  <si>
    <t>Ginger अदरक (Adrak)</t>
  </si>
  <si>
    <t>SEASONAL VEGETABLE</t>
  </si>
  <si>
    <t>Taro Root</t>
  </si>
  <si>
    <t>Yam</t>
  </si>
  <si>
    <t>Beetroot</t>
  </si>
  <si>
    <t>Radish</t>
  </si>
  <si>
    <t>Sweet Potato</t>
  </si>
  <si>
    <t>Turnip</t>
  </si>
  <si>
    <t>Carrot</t>
  </si>
  <si>
    <t>Ash Gourd</t>
  </si>
  <si>
    <t>KATHAL ( JACKFRUIT)</t>
  </si>
  <si>
    <t>Pumpkin</t>
  </si>
  <si>
    <t>Cucumber खीरा (Kheera)</t>
  </si>
  <si>
    <t>Tomato टमाटर (Tamatar)</t>
  </si>
  <si>
    <t>Chillies Green हरी मिर्च (Hari Mirch)</t>
  </si>
  <si>
    <t>Lotus Stem</t>
  </si>
  <si>
    <t>EXOTIC VEGETABLE</t>
  </si>
  <si>
    <t>Broccoli</t>
  </si>
  <si>
    <t>Cauliflower</t>
  </si>
  <si>
    <t>Brinjal Small</t>
  </si>
  <si>
    <t>Brinjal Big</t>
  </si>
  <si>
    <t>Zucchini</t>
  </si>
  <si>
    <t>Apple Gourd</t>
  </si>
  <si>
    <t>Bitter Gourd</t>
  </si>
  <si>
    <t>Bottle Gourd</t>
  </si>
  <si>
    <t>Ivy Gourd</t>
  </si>
  <si>
    <t>Pointed Gourd</t>
  </si>
  <si>
    <t>Drumstick</t>
  </si>
  <si>
    <t>Capsicum</t>
  </si>
  <si>
    <t>Yellow Bell Pepper</t>
  </si>
  <si>
    <t>Red Bell Pepper</t>
  </si>
  <si>
    <t>Raw Banana</t>
  </si>
  <si>
    <t>Ridge Gourd</t>
  </si>
  <si>
    <t>Snake Gourd</t>
  </si>
  <si>
    <t>Sponge Gourd</t>
  </si>
  <si>
    <t>Corn</t>
  </si>
  <si>
    <t>Okra / Lady Finger</t>
  </si>
  <si>
    <t xml:space="preserve">Spring Onion </t>
  </si>
  <si>
    <t>Spring GARLIC</t>
  </si>
  <si>
    <t>Cluster Beans</t>
  </si>
  <si>
    <t>Green Beans (Barbatti)</t>
  </si>
  <si>
    <t>French Beans</t>
  </si>
  <si>
    <t>Green Peas</t>
  </si>
  <si>
    <t>Lima Beans</t>
  </si>
  <si>
    <t>Cabbage</t>
  </si>
  <si>
    <t>Mint</t>
  </si>
  <si>
    <t>Asparagus</t>
  </si>
  <si>
    <t>Celery</t>
  </si>
  <si>
    <t>Amaranth Green</t>
  </si>
  <si>
    <t>Sweet Neem Leaves</t>
  </si>
  <si>
    <t>Raw Papaya</t>
  </si>
  <si>
    <t>Fenugreek</t>
  </si>
  <si>
    <t>Red Leafy Vegetable (Lal Bhaji)</t>
  </si>
  <si>
    <t>Coriander धनिया पत्ता (Dhaniya Patta)</t>
  </si>
  <si>
    <t>Mustard Leaves</t>
  </si>
  <si>
    <t>Bathua Leaves</t>
  </si>
  <si>
    <t>Lettuce</t>
  </si>
  <si>
    <t>Spinach</t>
  </si>
  <si>
    <t>Iceberg Lettuce</t>
  </si>
  <si>
    <t>Basil Herb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</si>
</sst>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#&quot;gms&quot;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8"/>
      <color indexed="8"/>
      <name val="Helvetica Neue"/>
    </font>
    <font>
      <b val="1"/>
      <sz val="10"/>
      <color indexed="11"/>
      <name val="Helvetica Neue"/>
    </font>
    <font>
      <sz val="10"/>
      <color indexed="1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2" fillId="2" borderId="1" applyNumberFormat="0" applyFont="1" applyFill="1" applyBorder="1" applyAlignment="1" applyProtection="0">
      <alignment horizontal="center" vertical="center" wrapText="1"/>
    </xf>
    <xf numFmtId="49" fontId="2" borderId="1" applyNumberFormat="1" applyFont="1" applyFill="0" applyBorder="1" applyAlignment="1" applyProtection="0">
      <alignment horizontal="center" vertical="center" wrapText="1"/>
    </xf>
    <xf numFmtId="59" fontId="2" borderId="1" applyNumberFormat="1" applyFont="1" applyFill="0" applyBorder="1" applyAlignment="1" applyProtection="0">
      <alignment horizontal="center" vertical="center" wrapText="1"/>
    </xf>
    <xf numFmtId="59" fontId="0" borderId="1" applyNumberFormat="1" applyFont="1" applyFill="0" applyBorder="1" applyAlignment="1" applyProtection="0">
      <alignment horizontal="center" vertical="center" wrapText="1"/>
    </xf>
    <xf numFmtId="0" fontId="2" borderId="1" applyNumberFormat="1" applyFont="1" applyFill="0" applyBorder="1" applyAlignment="1" applyProtection="0">
      <alignment horizontal="center" vertical="center" wrapText="1"/>
    </xf>
    <xf numFmtId="0" fontId="0" borderId="1" applyNumberFormat="1" applyFont="1" applyFill="0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horizontal="center" vertical="center" wrapText="1"/>
    </xf>
    <xf numFmtId="2" fontId="0" borderId="1" applyNumberFormat="1" applyFont="1" applyFill="0" applyBorder="1" applyAlignment="1" applyProtection="0">
      <alignment horizontal="center" vertical="center" wrapText="1"/>
    </xf>
    <xf numFmtId="49" fontId="4" borderId="1" applyNumberFormat="1" applyFont="1" applyFill="0" applyBorder="1" applyAlignment="1" applyProtection="0">
      <alignment horizontal="center" vertical="center" wrapText="1"/>
    </xf>
    <xf numFmtId="59" fontId="4" borderId="1" applyNumberFormat="1" applyFont="1" applyFill="0" applyBorder="1" applyAlignment="1" applyProtection="0">
      <alignment horizontal="center" vertical="center" wrapText="1"/>
    </xf>
    <xf numFmtId="59" fontId="5" borderId="1" applyNumberFormat="1" applyFont="1" applyFill="0" applyBorder="1" applyAlignment="1" applyProtection="0">
      <alignment horizontal="center" vertical="center" wrapText="1"/>
    </xf>
    <xf numFmtId="0" fontId="5" borderId="1" applyNumberFormat="1" applyFont="1" applyFill="0" applyBorder="1" applyAlignment="1" applyProtection="0">
      <alignment horizontal="center" vertical="center" wrapText="1"/>
    </xf>
    <xf numFmtId="0" fontId="5" borderId="1" applyNumberFormat="0" applyFont="1" applyFill="0" applyBorder="1" applyAlignment="1" applyProtection="0">
      <alignment horizontal="center" vertical="center" wrapText="1"/>
    </xf>
    <xf numFmtId="0" fontId="0" borderId="1" applyNumberFormat="1" applyFont="1" applyFill="0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3f3f3f"/>
      <rgbColor rgb="ffed220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A64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20.8516" style="1" customWidth="1"/>
    <col min="2" max="5" width="16.3516" style="1" customWidth="1"/>
    <col min="6" max="6" width="11.5" style="1" customWidth="1"/>
    <col min="7" max="12" width="16.3516" style="1" customWidth="1"/>
    <col min="13" max="14" width="18.0312" style="1" customWidth="1"/>
    <col min="15" max="15" width="2.5625" style="1" customWidth="1"/>
    <col min="16" max="16" width="18.0312" style="1" customWidth="1"/>
    <col min="17" max="17" width="18.7031" style="1" customWidth="1"/>
    <col min="18" max="27" width="16.3516" style="1" customWidth="1"/>
    <col min="2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4.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2</v>
      </c>
      <c r="N2" t="s" s="3">
        <v>3</v>
      </c>
      <c r="O2" s="4"/>
      <c r="P2" t="s" s="3">
        <v>13</v>
      </c>
      <c r="Q2" t="s" s="3">
        <v>14</v>
      </c>
      <c r="R2" t="s" s="3">
        <v>15</v>
      </c>
      <c r="S2" t="s" s="3">
        <v>16</v>
      </c>
      <c r="T2" t="s" s="3">
        <v>17</v>
      </c>
      <c r="U2" t="s" s="3">
        <v>18</v>
      </c>
      <c r="V2" t="s" s="3">
        <v>19</v>
      </c>
      <c r="W2" t="s" s="3">
        <v>20</v>
      </c>
      <c r="X2" t="s" s="3">
        <v>21</v>
      </c>
      <c r="Y2" t="s" s="3">
        <v>22</v>
      </c>
      <c r="Z2" t="s" s="3">
        <v>2</v>
      </c>
      <c r="AA2" t="s" s="3">
        <v>3</v>
      </c>
    </row>
    <row r="3" ht="23.7" customHeight="1">
      <c r="A3" t="s" s="5">
        <v>23</v>
      </c>
      <c r="B3" t="s" s="5">
        <v>24</v>
      </c>
      <c r="C3" s="6">
        <v>500</v>
      </c>
      <c r="D3" s="7" cm="1">
        <f t="array" ref="D3">20*C3</f>
        <v>10000</v>
      </c>
      <c r="E3" s="8">
        <v>1</v>
      </c>
      <c r="F3" s="9">
        <v>12</v>
      </c>
      <c r="G3" s="9">
        <v>6</v>
      </c>
      <c r="H3" s="9">
        <v>0.5</v>
      </c>
      <c r="I3" s="9" cm="1">
        <f t="array" ref="I3">G3*H3</f>
        <v>3</v>
      </c>
      <c r="J3" s="9" cm="1">
        <f t="array" ref="J3">D3/C3*G3</f>
        <v>120</v>
      </c>
      <c r="K3" s="9" cm="1">
        <f t="array" ref="K3">J3*H3</f>
        <v>60</v>
      </c>
      <c r="L3" s="9">
        <v>10</v>
      </c>
      <c r="M3" t="s" s="5">
        <v>24</v>
      </c>
      <c r="N3" s="6">
        <v>500</v>
      </c>
      <c r="O3" s="10"/>
      <c r="P3" s="9">
        <v>0.1</v>
      </c>
      <c r="Q3" s="9" cm="1">
        <f t="array" ref="Q3">P3*20</f>
        <v>2</v>
      </c>
      <c r="R3" s="9">
        <v>0.5</v>
      </c>
      <c r="S3" s="9" cm="1">
        <f t="array" ref="S3">R3*20</f>
        <v>10</v>
      </c>
      <c r="T3" s="9">
        <v>0.1</v>
      </c>
      <c r="U3" s="9" cm="1">
        <f t="array" ref="U3">T3*20</f>
        <v>2</v>
      </c>
      <c r="V3" s="9" cm="1">
        <f t="array" ref="V3">T3+R3+P3+L3+I3+F3</f>
        <v>25.7</v>
      </c>
      <c r="W3" s="9" cm="1">
        <f t="array" ref="W3">U3+S3+Q3+K3</f>
        <v>74</v>
      </c>
      <c r="X3" s="9" cm="1">
        <f t="array" ref="X3">W3+L3+F3</f>
        <v>96</v>
      </c>
      <c r="Y3" s="11" cm="1">
        <f t="array" ref="Y3">X3/60</f>
        <v>1.6</v>
      </c>
      <c r="Z3" t="s" s="5">
        <v>24</v>
      </c>
      <c r="AA3" s="6">
        <v>500</v>
      </c>
    </row>
    <row r="4" ht="23.7" customHeight="1">
      <c r="A4" t="s" s="5">
        <v>23</v>
      </c>
      <c r="B4" t="s" s="5">
        <v>25</v>
      </c>
      <c r="C4" s="6">
        <v>500</v>
      </c>
      <c r="D4" s="7" cm="1">
        <f t="array" ref="D4">20*C4</f>
        <v>10000</v>
      </c>
      <c r="E4" s="8">
        <v>1</v>
      </c>
      <c r="F4" s="9">
        <v>12</v>
      </c>
      <c r="G4" s="9">
        <v>6</v>
      </c>
      <c r="H4" s="9">
        <v>0.5</v>
      </c>
      <c r="I4" s="9" cm="1">
        <f t="array" ref="I4">G4*H4</f>
        <v>3</v>
      </c>
      <c r="J4" s="9" cm="1">
        <f t="array" ref="J4">D4/C4*G4</f>
        <v>120</v>
      </c>
      <c r="K4" s="9" cm="1">
        <f t="array" ref="K4">J4*H4</f>
        <v>60</v>
      </c>
      <c r="L4" s="9">
        <v>15</v>
      </c>
      <c r="M4" t="s" s="5">
        <v>25</v>
      </c>
      <c r="N4" s="6">
        <v>500</v>
      </c>
      <c r="O4" s="10"/>
      <c r="P4" s="9">
        <v>0.1</v>
      </c>
      <c r="Q4" s="9" cm="1">
        <f t="array" ref="Q4">P4*20</f>
        <v>2</v>
      </c>
      <c r="R4" s="9">
        <v>0.5</v>
      </c>
      <c r="S4" s="9" cm="1">
        <f t="array" ref="S4">R4*20</f>
        <v>10</v>
      </c>
      <c r="T4" s="9">
        <v>0.1</v>
      </c>
      <c r="U4" s="9" cm="1">
        <f t="array" ref="U4">T4*20</f>
        <v>2</v>
      </c>
      <c r="V4" s="9" cm="1">
        <f t="array" ref="V4">T4+R4+P4+L4+K4+F4</f>
        <v>87.7</v>
      </c>
      <c r="W4" s="9" cm="1">
        <f t="array" ref="W4">U4+S4+Q4+K4</f>
        <v>74</v>
      </c>
      <c r="X4" s="9" cm="1">
        <f t="array" ref="X4">W4+L4+F4</f>
        <v>101</v>
      </c>
      <c r="Y4" s="11" cm="1">
        <f t="array" ref="Y4">X4/60</f>
        <v>1.68333333333333</v>
      </c>
      <c r="Z4" t="s" s="5">
        <v>25</v>
      </c>
      <c r="AA4" s="6">
        <v>500</v>
      </c>
    </row>
    <row r="5" ht="36.45" customHeight="1">
      <c r="A5" t="s" s="5">
        <v>23</v>
      </c>
      <c r="B5" t="s" s="5">
        <v>26</v>
      </c>
      <c r="C5" s="6">
        <v>100</v>
      </c>
      <c r="D5" s="7" cm="1">
        <f t="array" ref="D5">20*C5</f>
        <v>2000</v>
      </c>
      <c r="E5" s="8">
        <v>1</v>
      </c>
      <c r="F5" s="9">
        <v>12</v>
      </c>
      <c r="G5" s="9">
        <v>3</v>
      </c>
      <c r="H5" s="9">
        <v>0.1</v>
      </c>
      <c r="I5" s="9" cm="1">
        <f t="array" ref="I5">G5*H5</f>
        <v>0.3</v>
      </c>
      <c r="J5" s="9" cm="1">
        <f t="array" ref="J5">D5/C5*G5</f>
        <v>60</v>
      </c>
      <c r="K5" s="9" cm="1">
        <f t="array" ref="K5">J5*H5</f>
        <v>6</v>
      </c>
      <c r="L5" s="9">
        <v>5</v>
      </c>
      <c r="M5" t="s" s="5">
        <v>26</v>
      </c>
      <c r="N5" s="6">
        <v>100</v>
      </c>
      <c r="O5" s="10"/>
      <c r="P5" s="9">
        <v>0.1</v>
      </c>
      <c r="Q5" s="9" cm="1">
        <f t="array" ref="Q5">P5*20</f>
        <v>2</v>
      </c>
      <c r="R5" s="9">
        <v>0.5</v>
      </c>
      <c r="S5" s="9" cm="1">
        <f t="array" ref="S5">R5*20</f>
        <v>10</v>
      </c>
      <c r="T5" s="9">
        <v>0.1</v>
      </c>
      <c r="U5" s="9" cm="1">
        <f t="array" ref="U5">T5*20</f>
        <v>2</v>
      </c>
      <c r="V5" s="9" cm="1">
        <f t="array" ref="V5">T5+R5+P5+L5+K5+F5</f>
        <v>23.7</v>
      </c>
      <c r="W5" s="9" cm="1">
        <f t="array" ref="W5">U5+S5+Q5+K5</f>
        <v>20</v>
      </c>
      <c r="X5" s="9" cm="1">
        <f t="array" ref="X5">W5+L5+F5</f>
        <v>37</v>
      </c>
      <c r="Y5" s="11" cm="1">
        <f t="array" ref="Y5">X5/60</f>
        <v>0.616666666666667</v>
      </c>
      <c r="Z5" t="s" s="5">
        <v>26</v>
      </c>
      <c r="AA5" s="6">
        <v>100</v>
      </c>
    </row>
    <row r="6" ht="36.45" customHeight="1">
      <c r="A6" t="s" s="5">
        <v>23</v>
      </c>
      <c r="B6" t="s" s="5">
        <v>27</v>
      </c>
      <c r="C6" s="6">
        <v>100</v>
      </c>
      <c r="D6" s="7" cm="1">
        <f t="array" ref="D6">20*C6</f>
        <v>2000</v>
      </c>
      <c r="E6" s="8">
        <v>1</v>
      </c>
      <c r="F6" s="9">
        <v>12</v>
      </c>
      <c r="G6" s="9">
        <v>6</v>
      </c>
      <c r="H6" s="9">
        <v>0.35</v>
      </c>
      <c r="I6" s="9" cm="1">
        <f t="array" ref="I6">G6*H6</f>
        <v>2.1</v>
      </c>
      <c r="J6" s="9" cm="1">
        <f t="array" ref="J6">D6/C6*G6</f>
        <v>120</v>
      </c>
      <c r="K6" s="9" cm="1">
        <f t="array" ref="K6">J6*H6</f>
        <v>42</v>
      </c>
      <c r="L6" s="9">
        <v>15</v>
      </c>
      <c r="M6" t="s" s="5">
        <v>27</v>
      </c>
      <c r="N6" s="6">
        <v>100</v>
      </c>
      <c r="O6" s="10"/>
      <c r="P6" s="9">
        <v>0.1</v>
      </c>
      <c r="Q6" s="9" cm="1">
        <f t="array" ref="Q6">P6*20</f>
        <v>2</v>
      </c>
      <c r="R6" s="9">
        <v>0.5</v>
      </c>
      <c r="S6" s="9" cm="1">
        <f t="array" ref="S6">R6*20</f>
        <v>10</v>
      </c>
      <c r="T6" s="9">
        <v>0.1</v>
      </c>
      <c r="U6" s="9" cm="1">
        <f t="array" ref="U6">T6*20</f>
        <v>2</v>
      </c>
      <c r="V6" s="9" cm="1">
        <f t="array" ref="V6">T6+R6+P6+L6+K6+F6</f>
        <v>69.7</v>
      </c>
      <c r="W6" s="9" cm="1">
        <f t="array" ref="W6">U6+S6+Q6+K6</f>
        <v>56</v>
      </c>
      <c r="X6" s="9" cm="1">
        <f t="array" ref="X6">W6+L6+F6</f>
        <v>83</v>
      </c>
      <c r="Y6" s="11" cm="1">
        <f t="array" ref="Y6">X6/60</f>
        <v>1.38333333333333</v>
      </c>
      <c r="Z6" t="s" s="5">
        <v>27</v>
      </c>
      <c r="AA6" s="6">
        <v>100</v>
      </c>
    </row>
    <row r="7" ht="36.45" customHeight="1">
      <c r="A7" t="s" s="5">
        <v>23</v>
      </c>
      <c r="B7" t="s" s="5">
        <v>28</v>
      </c>
      <c r="C7" s="6">
        <v>50</v>
      </c>
      <c r="D7" s="7" cm="1">
        <f t="array" ref="D7">20*C7</f>
        <v>1000</v>
      </c>
      <c r="E7" s="8">
        <v>1</v>
      </c>
      <c r="F7" s="9">
        <v>12</v>
      </c>
      <c r="G7" s="9">
        <v>2</v>
      </c>
      <c r="H7" s="9">
        <v>2</v>
      </c>
      <c r="I7" s="9" cm="1">
        <f t="array" ref="I7">G7*H7</f>
        <v>4</v>
      </c>
      <c r="J7" s="9" cm="1">
        <f t="array" ref="J7">(D7/C7)*G7</f>
        <v>40</v>
      </c>
      <c r="K7" s="9" cm="1">
        <f t="array" ref="K7">J7*H7</f>
        <v>80</v>
      </c>
      <c r="L7" s="9">
        <v>20</v>
      </c>
      <c r="M7" t="s" s="5">
        <v>28</v>
      </c>
      <c r="N7" s="6">
        <v>50</v>
      </c>
      <c r="O7" s="10"/>
      <c r="P7" s="9">
        <v>0.1</v>
      </c>
      <c r="Q7" s="9" cm="1">
        <f t="array" ref="Q7">P7*20</f>
        <v>2</v>
      </c>
      <c r="R7" s="9">
        <v>0.5</v>
      </c>
      <c r="S7" s="9" cm="1">
        <f t="array" ref="S7">R7*20</f>
        <v>10</v>
      </c>
      <c r="T7" s="9">
        <v>0.1</v>
      </c>
      <c r="U7" s="9" cm="1">
        <f t="array" ref="U7">T7*20</f>
        <v>2</v>
      </c>
      <c r="V7" s="9" cm="1">
        <f t="array" ref="V7">T7+R7+P7+L7+K7+F7</f>
        <v>112.7</v>
      </c>
      <c r="W7" s="9" cm="1">
        <f t="array" ref="W7">U7+S7+Q7+K7</f>
        <v>94</v>
      </c>
      <c r="X7" s="9" cm="1">
        <f t="array" ref="X7">W7+L7+F7</f>
        <v>126</v>
      </c>
      <c r="Y7" s="11" cm="1">
        <f t="array" ref="Y7">X7/60</f>
        <v>2.1</v>
      </c>
      <c r="Z7" t="s" s="5">
        <v>28</v>
      </c>
      <c r="AA7" s="6">
        <v>50</v>
      </c>
    </row>
    <row r="8" ht="20.45" customHeight="1">
      <c r="A8" t="s" s="5">
        <v>29</v>
      </c>
      <c r="B8" t="s" s="5">
        <v>30</v>
      </c>
      <c r="C8" s="6">
        <v>250</v>
      </c>
      <c r="D8" s="7" cm="1">
        <f t="array" ref="D8">20*C8</f>
        <v>5000</v>
      </c>
      <c r="E8" s="8">
        <v>1</v>
      </c>
      <c r="F8" s="9">
        <v>12</v>
      </c>
      <c r="G8" s="9">
        <v>9</v>
      </c>
      <c r="H8" s="9">
        <v>0.5</v>
      </c>
      <c r="I8" s="9" cm="1">
        <f t="array" ref="I8">G8*H8</f>
        <v>4.5</v>
      </c>
      <c r="J8" s="9" cm="1">
        <f t="array" ref="J8">D8/C8*G8</f>
        <v>180</v>
      </c>
      <c r="K8" s="9" cm="1">
        <f t="array" ref="K8">J8*H8</f>
        <v>90</v>
      </c>
      <c r="L8" s="9">
        <v>10</v>
      </c>
      <c r="M8" t="s" s="5">
        <v>30</v>
      </c>
      <c r="N8" s="6">
        <v>250</v>
      </c>
      <c r="O8" s="10"/>
      <c r="P8" s="9">
        <v>0.1</v>
      </c>
      <c r="Q8" s="9" cm="1">
        <f t="array" ref="Q8">P8*20</f>
        <v>2</v>
      </c>
      <c r="R8" s="9">
        <v>0.5</v>
      </c>
      <c r="S8" s="9" cm="1">
        <f t="array" ref="S8">R8*20</f>
        <v>10</v>
      </c>
      <c r="T8" s="9">
        <v>0.1</v>
      </c>
      <c r="U8" s="9" cm="1">
        <f t="array" ref="U8">T8*20</f>
        <v>2</v>
      </c>
      <c r="V8" s="9" cm="1">
        <f t="array" ref="V8">T8+R8+P8+L8+K8+F8</f>
        <v>112.7</v>
      </c>
      <c r="W8" s="9" cm="1">
        <f t="array" ref="W8">U8+S8+Q8+K8</f>
        <v>104</v>
      </c>
      <c r="X8" s="9" cm="1">
        <f t="array" ref="X8">W8+L8+F8</f>
        <v>126</v>
      </c>
      <c r="Y8" s="11" cm="1">
        <f t="array" ref="Y8">X8/60</f>
        <v>2.1</v>
      </c>
      <c r="Z8" t="s" s="5">
        <v>30</v>
      </c>
      <c r="AA8" s="6">
        <v>250</v>
      </c>
    </row>
    <row r="9" ht="20.45" customHeight="1">
      <c r="A9" t="s" s="5">
        <v>29</v>
      </c>
      <c r="B9" t="s" s="12">
        <v>31</v>
      </c>
      <c r="C9" s="13">
        <v>250</v>
      </c>
      <c r="D9" s="14" cm="1">
        <f t="array" ref="D9">20*C9</f>
        <v>5000</v>
      </c>
      <c r="E9" s="8">
        <v>1</v>
      </c>
      <c r="F9" s="15">
        <v>12</v>
      </c>
      <c r="G9" s="15">
        <v>10</v>
      </c>
      <c r="H9" s="15">
        <v>0.05</v>
      </c>
      <c r="I9" s="15" cm="1">
        <f t="array" ref="I9">G9*H9</f>
        <v>0.5</v>
      </c>
      <c r="J9" s="15" cm="1">
        <f t="array" ref="J9">D9/C9*G9</f>
        <v>200</v>
      </c>
      <c r="K9" s="15" cm="1">
        <f t="array" ref="K9">J9*H9</f>
        <v>10</v>
      </c>
      <c r="L9" s="15">
        <v>5</v>
      </c>
      <c r="M9" t="s" s="12">
        <v>31</v>
      </c>
      <c r="N9" s="13">
        <v>250</v>
      </c>
      <c r="O9" s="16"/>
      <c r="P9" s="15">
        <v>0.5</v>
      </c>
      <c r="Q9" s="9" cm="1">
        <f t="array" ref="Q9">P9*20</f>
        <v>10</v>
      </c>
      <c r="R9" s="9">
        <v>0.5</v>
      </c>
      <c r="S9" s="9" cm="1">
        <f t="array" ref="S9">R9*20</f>
        <v>10</v>
      </c>
      <c r="T9" s="9">
        <v>0.1</v>
      </c>
      <c r="U9" s="9" cm="1">
        <f t="array" ref="U9">T9*20</f>
        <v>2</v>
      </c>
      <c r="V9" s="9" cm="1">
        <f t="array" ref="V9">T9+R9+P9+L9+K9+F9</f>
        <v>28.1</v>
      </c>
      <c r="W9" s="9" cm="1">
        <f t="array" ref="W9">U9+S9+Q9+K9</f>
        <v>32</v>
      </c>
      <c r="X9" s="9" cm="1">
        <f t="array" ref="X9">W9+L9+F9</f>
        <v>49</v>
      </c>
      <c r="Y9" s="11" cm="1">
        <f t="array" ref="Y9">X9/60</f>
        <v>0.816666666666667</v>
      </c>
      <c r="Z9" t="s" s="12">
        <v>31</v>
      </c>
      <c r="AA9" s="13">
        <v>250</v>
      </c>
    </row>
    <row r="10" ht="20.45" customHeight="1">
      <c r="A10" t="s" s="5">
        <v>29</v>
      </c>
      <c r="B10" t="s" s="5">
        <v>32</v>
      </c>
      <c r="C10" s="6">
        <v>250</v>
      </c>
      <c r="D10" s="7" cm="1">
        <f t="array" ref="D10">20*C10</f>
        <v>5000</v>
      </c>
      <c r="E10" s="8">
        <v>1</v>
      </c>
      <c r="F10" s="9">
        <v>12</v>
      </c>
      <c r="G10" s="9">
        <v>5</v>
      </c>
      <c r="H10" s="9">
        <v>0.5</v>
      </c>
      <c r="I10" s="9" cm="1">
        <f t="array" ref="I10">G10*H10</f>
        <v>2.5</v>
      </c>
      <c r="J10" s="9" cm="1">
        <f t="array" ref="J10">D10/C10*G10</f>
        <v>100</v>
      </c>
      <c r="K10" s="9" cm="1">
        <f t="array" ref="K10">J10*H10</f>
        <v>50</v>
      </c>
      <c r="L10" s="9">
        <v>5</v>
      </c>
      <c r="M10" t="s" s="5">
        <v>32</v>
      </c>
      <c r="N10" s="6">
        <v>250</v>
      </c>
      <c r="O10" s="10"/>
      <c r="P10" s="9">
        <v>0.1</v>
      </c>
      <c r="Q10" s="9" cm="1">
        <f t="array" ref="Q10">P10*20</f>
        <v>2</v>
      </c>
      <c r="R10" s="9">
        <v>0.5</v>
      </c>
      <c r="S10" s="9" cm="1">
        <f t="array" ref="S10">R10*20</f>
        <v>10</v>
      </c>
      <c r="T10" s="9">
        <v>0.1</v>
      </c>
      <c r="U10" s="9" cm="1">
        <f t="array" ref="U10">T10*20</f>
        <v>2</v>
      </c>
      <c r="V10" s="9" cm="1">
        <f t="array" ref="V10">T10+R10+P10+L10+K10+F10</f>
        <v>67.7</v>
      </c>
      <c r="W10" s="9" cm="1">
        <f t="array" ref="W10">U10+S10+Q10+K10</f>
        <v>64</v>
      </c>
      <c r="X10" s="9" cm="1">
        <f t="array" ref="X10">W10+L10+F10</f>
        <v>81</v>
      </c>
      <c r="Y10" s="11" cm="1">
        <f t="array" ref="Y10">X10/60</f>
        <v>1.35</v>
      </c>
      <c r="Z10" t="s" s="5">
        <v>32</v>
      </c>
      <c r="AA10" s="6">
        <v>250</v>
      </c>
    </row>
    <row r="11" ht="20.45" customHeight="1">
      <c r="A11" t="s" s="5">
        <v>29</v>
      </c>
      <c r="B11" t="s" s="5">
        <v>33</v>
      </c>
      <c r="C11" s="6">
        <v>250</v>
      </c>
      <c r="D11" s="7" cm="1">
        <f t="array" ref="D11">20*C11</f>
        <v>5000</v>
      </c>
      <c r="E11" s="8">
        <v>1</v>
      </c>
      <c r="F11" s="9">
        <v>12</v>
      </c>
      <c r="G11" s="9">
        <v>4</v>
      </c>
      <c r="H11" s="9">
        <v>0.3</v>
      </c>
      <c r="I11" s="9" cm="1">
        <f t="array" ref="I11">G11*H11</f>
        <v>1.2</v>
      </c>
      <c r="J11" s="9" cm="1">
        <f t="array" ref="J11">D11/C11*G11</f>
        <v>80</v>
      </c>
      <c r="K11" s="9" cm="1">
        <f t="array" ref="K11">J11*H11</f>
        <v>24</v>
      </c>
      <c r="L11" s="9">
        <v>5</v>
      </c>
      <c r="M11" t="s" s="5">
        <v>33</v>
      </c>
      <c r="N11" s="6">
        <v>250</v>
      </c>
      <c r="O11" s="10"/>
      <c r="P11" s="9">
        <v>0.1</v>
      </c>
      <c r="Q11" s="9" cm="1">
        <f t="array" ref="Q11">P11*20</f>
        <v>2</v>
      </c>
      <c r="R11" s="9">
        <v>0.5</v>
      </c>
      <c r="S11" s="9" cm="1">
        <f t="array" ref="S11">R11*20</f>
        <v>10</v>
      </c>
      <c r="T11" s="9">
        <v>0.1</v>
      </c>
      <c r="U11" s="9" cm="1">
        <f t="array" ref="U11">T11*20</f>
        <v>2</v>
      </c>
      <c r="V11" s="9" cm="1">
        <f t="array" ref="V11">T11+R11+P11+L11+K11+F11</f>
        <v>41.7</v>
      </c>
      <c r="W11" s="9" cm="1">
        <f t="array" ref="W11">U11+S11+Q11+K11</f>
        <v>38</v>
      </c>
      <c r="X11" s="9" cm="1">
        <f t="array" ref="X11">W11+L11+F11</f>
        <v>55</v>
      </c>
      <c r="Y11" s="11" cm="1">
        <f t="array" ref="Y11">X11/60</f>
        <v>0.916666666666667</v>
      </c>
      <c r="Z11" t="s" s="5">
        <v>33</v>
      </c>
      <c r="AA11" s="6">
        <v>250</v>
      </c>
    </row>
    <row r="12" ht="20.45" customHeight="1">
      <c r="A12" t="s" s="5">
        <v>29</v>
      </c>
      <c r="B12" t="s" s="5">
        <v>34</v>
      </c>
      <c r="C12" s="6">
        <v>250</v>
      </c>
      <c r="D12" s="7" cm="1">
        <f t="array" ref="D12">20*C12</f>
        <v>5000</v>
      </c>
      <c r="E12" s="8">
        <v>1</v>
      </c>
      <c r="F12" s="9">
        <v>12</v>
      </c>
      <c r="G12" s="9">
        <v>6</v>
      </c>
      <c r="H12" s="9">
        <v>0.5</v>
      </c>
      <c r="I12" s="9" cm="1">
        <f t="array" ref="I12">G12*H12</f>
        <v>3</v>
      </c>
      <c r="J12" s="9" cm="1">
        <f t="array" ref="J12">D12/C12*G12</f>
        <v>120</v>
      </c>
      <c r="K12" s="9" cm="1">
        <f t="array" ref="K12">J12*H12</f>
        <v>60</v>
      </c>
      <c r="L12" s="9">
        <v>10</v>
      </c>
      <c r="M12" t="s" s="5">
        <v>34</v>
      </c>
      <c r="N12" s="6">
        <v>250</v>
      </c>
      <c r="O12" s="10"/>
      <c r="P12" s="9">
        <v>0.1</v>
      </c>
      <c r="Q12" s="9" cm="1">
        <f t="array" ref="Q12">P12*20</f>
        <v>2</v>
      </c>
      <c r="R12" s="9">
        <v>0.5</v>
      </c>
      <c r="S12" s="9" cm="1">
        <f t="array" ref="S12">R12*20</f>
        <v>10</v>
      </c>
      <c r="T12" s="9">
        <v>0.1</v>
      </c>
      <c r="U12" s="9" cm="1">
        <f t="array" ref="U12">T12*20</f>
        <v>2</v>
      </c>
      <c r="V12" s="9" cm="1">
        <f t="array" ref="V12">T12+R12+P12+L12+K12+F12</f>
        <v>82.7</v>
      </c>
      <c r="W12" s="9" cm="1">
        <f t="array" ref="W12">U12+S12+Q12+K12</f>
        <v>74</v>
      </c>
      <c r="X12" s="9" cm="1">
        <f t="array" ref="X12">W12+L12+F12</f>
        <v>96</v>
      </c>
      <c r="Y12" s="11" cm="1">
        <f t="array" ref="Y12">X12/60</f>
        <v>1.6</v>
      </c>
      <c r="Z12" t="s" s="5">
        <v>34</v>
      </c>
      <c r="AA12" s="6">
        <v>250</v>
      </c>
    </row>
    <row r="13" ht="20.45" customHeight="1">
      <c r="A13" t="s" s="5">
        <v>29</v>
      </c>
      <c r="B13" t="s" s="5">
        <v>35</v>
      </c>
      <c r="C13" s="6">
        <v>250</v>
      </c>
      <c r="D13" s="7" cm="1">
        <f t="array" ref="D13">20*C13</f>
        <v>5000</v>
      </c>
      <c r="E13" s="8">
        <v>1</v>
      </c>
      <c r="F13" s="9">
        <v>12</v>
      </c>
      <c r="G13" s="9">
        <v>4</v>
      </c>
      <c r="H13" s="9">
        <v>0.3</v>
      </c>
      <c r="I13" s="9" cm="1">
        <f t="array" ref="I13">G13*H13</f>
        <v>1.2</v>
      </c>
      <c r="J13" s="9" cm="1">
        <f t="array" ref="J13">D13/C13*G13</f>
        <v>80</v>
      </c>
      <c r="K13" s="9" cm="1">
        <f t="array" ref="K13">J13*H13</f>
        <v>24</v>
      </c>
      <c r="L13" s="9">
        <v>5</v>
      </c>
      <c r="M13" t="s" s="5">
        <v>35</v>
      </c>
      <c r="N13" s="6">
        <v>250</v>
      </c>
      <c r="O13" s="10"/>
      <c r="P13" s="9">
        <v>0.1</v>
      </c>
      <c r="Q13" s="9" cm="1">
        <f t="array" ref="Q13">P13*20</f>
        <v>2</v>
      </c>
      <c r="R13" s="9">
        <v>0.5</v>
      </c>
      <c r="S13" s="9" cm="1">
        <f t="array" ref="S13">R13*20</f>
        <v>10</v>
      </c>
      <c r="T13" s="9">
        <v>0.1</v>
      </c>
      <c r="U13" s="9" cm="1">
        <f t="array" ref="U13">T13*20</f>
        <v>2</v>
      </c>
      <c r="V13" s="9" cm="1">
        <f t="array" ref="V13">T13+R13+P13+L13+K13+F13</f>
        <v>41.7</v>
      </c>
      <c r="W13" s="9" cm="1">
        <f t="array" ref="W13">U13+S13+Q13+K13</f>
        <v>38</v>
      </c>
      <c r="X13" s="9" cm="1">
        <f t="array" ref="X13">W13+L13+F13</f>
        <v>55</v>
      </c>
      <c r="Y13" s="11" cm="1">
        <f t="array" ref="Y13">X13/60</f>
        <v>0.916666666666667</v>
      </c>
      <c r="Z13" t="s" s="5">
        <v>35</v>
      </c>
      <c r="AA13" s="6">
        <v>250</v>
      </c>
    </row>
    <row r="14" ht="20.45" customHeight="1">
      <c r="A14" t="s" s="5">
        <v>29</v>
      </c>
      <c r="B14" t="s" s="5">
        <v>36</v>
      </c>
      <c r="C14" s="6">
        <v>250</v>
      </c>
      <c r="D14" s="7" cm="1">
        <f t="array" ref="D14">20*C14</f>
        <v>5000</v>
      </c>
      <c r="E14" s="8">
        <v>1</v>
      </c>
      <c r="F14" s="9">
        <v>12</v>
      </c>
      <c r="G14" s="9">
        <v>5</v>
      </c>
      <c r="H14" s="9">
        <v>0.3</v>
      </c>
      <c r="I14" s="9" cm="1">
        <f t="array" ref="I14">G14*H14</f>
        <v>1.5</v>
      </c>
      <c r="J14" s="9" cm="1">
        <f t="array" ref="J14">D14/C14*G14</f>
        <v>100</v>
      </c>
      <c r="K14" s="9" cm="1">
        <f t="array" ref="K14">J14*H14</f>
        <v>30</v>
      </c>
      <c r="L14" s="9">
        <v>5</v>
      </c>
      <c r="M14" t="s" s="5">
        <v>36</v>
      </c>
      <c r="N14" s="6">
        <v>250</v>
      </c>
      <c r="O14" s="10"/>
      <c r="P14" s="9">
        <v>0.1</v>
      </c>
      <c r="Q14" s="9" cm="1">
        <f t="array" ref="Q14">P14*20</f>
        <v>2</v>
      </c>
      <c r="R14" s="9">
        <v>0.5</v>
      </c>
      <c r="S14" s="9" cm="1">
        <f t="array" ref="S14">R14*20</f>
        <v>10</v>
      </c>
      <c r="T14" s="9">
        <v>0.1</v>
      </c>
      <c r="U14" s="9" cm="1">
        <f t="array" ref="U14">T14*20</f>
        <v>2</v>
      </c>
      <c r="V14" s="9" cm="1">
        <f t="array" ref="V14">T14+R14+P14+L14+K14+F14</f>
        <v>47.7</v>
      </c>
      <c r="W14" s="9" cm="1">
        <f t="array" ref="W14">U14+S14+Q14+K14</f>
        <v>44</v>
      </c>
      <c r="X14" s="9" cm="1">
        <f t="array" ref="X14">W14+L14+F14</f>
        <v>61</v>
      </c>
      <c r="Y14" s="11" cm="1">
        <f t="array" ref="Y14">X14/60</f>
        <v>1.01666666666667</v>
      </c>
      <c r="Z14" t="s" s="5">
        <v>36</v>
      </c>
      <c r="AA14" s="6">
        <v>250</v>
      </c>
    </row>
    <row r="15" ht="20.45" customHeight="1">
      <c r="A15" t="s" s="5">
        <v>29</v>
      </c>
      <c r="B15" t="s" s="12">
        <v>37</v>
      </c>
      <c r="C15" s="13">
        <v>250</v>
      </c>
      <c r="D15" s="14" cm="1">
        <f t="array" ref="D15">20*C15</f>
        <v>5000</v>
      </c>
      <c r="E15" s="8">
        <v>1</v>
      </c>
      <c r="F15" s="15">
        <v>12</v>
      </c>
      <c r="G15" s="15">
        <v>10</v>
      </c>
      <c r="H15" s="15">
        <v>0.05</v>
      </c>
      <c r="I15" s="15" cm="1">
        <f t="array" ref="I15">G15*H15</f>
        <v>0.5</v>
      </c>
      <c r="J15" s="15" cm="1">
        <f t="array" ref="J15">D15/C15*G15</f>
        <v>200</v>
      </c>
      <c r="K15" s="15" cm="1">
        <f t="array" ref="K15">J15*H15</f>
        <v>10</v>
      </c>
      <c r="L15" s="15">
        <v>5</v>
      </c>
      <c r="M15" t="s" s="12">
        <v>37</v>
      </c>
      <c r="N15" s="13">
        <v>250</v>
      </c>
      <c r="O15" s="16"/>
      <c r="P15" s="15">
        <v>0.5</v>
      </c>
      <c r="Q15" s="9" cm="1">
        <f t="array" ref="Q15">P15*20</f>
        <v>10</v>
      </c>
      <c r="R15" s="9">
        <v>0.5</v>
      </c>
      <c r="S15" s="9" cm="1">
        <f t="array" ref="S15">R15*20</f>
        <v>10</v>
      </c>
      <c r="T15" s="9">
        <v>0.1</v>
      </c>
      <c r="U15" s="9" cm="1">
        <f t="array" ref="U15">T15*20</f>
        <v>2</v>
      </c>
      <c r="V15" s="9" cm="1">
        <f t="array" ref="V15">T15+R15+P15+L15+K15+F15</f>
        <v>28.1</v>
      </c>
      <c r="W15" s="9" cm="1">
        <f t="array" ref="W15">U15+S15+Q15+K15</f>
        <v>32</v>
      </c>
      <c r="X15" s="9" cm="1">
        <f t="array" ref="X15">W15+L15+F15</f>
        <v>49</v>
      </c>
      <c r="Y15" s="11" cm="1">
        <f t="array" ref="Y15">X15/60</f>
        <v>0.816666666666667</v>
      </c>
      <c r="Z15" t="s" s="12">
        <v>37</v>
      </c>
      <c r="AA15" s="13">
        <v>250</v>
      </c>
    </row>
    <row r="16" ht="32.45" customHeight="1">
      <c r="A16" t="s" s="5">
        <v>29</v>
      </c>
      <c r="B16" t="s" s="12">
        <v>38</v>
      </c>
      <c r="C16" s="13">
        <v>250</v>
      </c>
      <c r="D16" s="14" cm="1">
        <f t="array" ref="D16">20*C16</f>
        <v>5000</v>
      </c>
      <c r="E16" s="8">
        <v>1</v>
      </c>
      <c r="F16" s="15">
        <v>12</v>
      </c>
      <c r="G16" s="15">
        <v>10</v>
      </c>
      <c r="H16" s="15">
        <v>0.05</v>
      </c>
      <c r="I16" s="15" cm="1">
        <f t="array" ref="I16">G16*H16</f>
        <v>0.5</v>
      </c>
      <c r="J16" s="15" cm="1">
        <f t="array" ref="J16">D16/C16*G16</f>
        <v>200</v>
      </c>
      <c r="K16" s="15" cm="1">
        <f t="array" ref="K16">J16*H16</f>
        <v>10</v>
      </c>
      <c r="L16" s="15">
        <v>5</v>
      </c>
      <c r="M16" t="s" s="12">
        <v>38</v>
      </c>
      <c r="N16" s="13">
        <v>250</v>
      </c>
      <c r="O16" s="16"/>
      <c r="P16" s="15">
        <v>1</v>
      </c>
      <c r="Q16" s="9" cm="1">
        <f t="array" ref="Q16">P16*20</f>
        <v>20</v>
      </c>
      <c r="R16" s="9">
        <v>0.5</v>
      </c>
      <c r="S16" s="9" cm="1">
        <f t="array" ref="S16">R16*20</f>
        <v>10</v>
      </c>
      <c r="T16" s="9">
        <v>0.1</v>
      </c>
      <c r="U16" s="9" cm="1">
        <f t="array" ref="U16">T16*20</f>
        <v>2</v>
      </c>
      <c r="V16" s="9" cm="1">
        <f t="array" ref="V16">T16+R16+P16+L16+K16+F16</f>
        <v>28.6</v>
      </c>
      <c r="W16" s="9" cm="1">
        <f t="array" ref="W16">U16+S16+Q16+K16</f>
        <v>42</v>
      </c>
      <c r="X16" s="9" cm="1">
        <f t="array" ref="X16">W16+L16+F16</f>
        <v>59</v>
      </c>
      <c r="Y16" s="11" cm="1">
        <f t="array" ref="Y16">X16/60</f>
        <v>0.9833333333333329</v>
      </c>
      <c r="Z16" t="s" s="12">
        <v>38</v>
      </c>
      <c r="AA16" s="13">
        <v>250</v>
      </c>
    </row>
    <row r="17" ht="20.45" customHeight="1">
      <c r="A17" t="s" s="5">
        <v>29</v>
      </c>
      <c r="B17" t="s" s="12">
        <v>39</v>
      </c>
      <c r="C17" s="13">
        <v>250</v>
      </c>
      <c r="D17" s="14" cm="1">
        <f t="array" ref="D17">20*C17</f>
        <v>5000</v>
      </c>
      <c r="E17" s="8">
        <v>1</v>
      </c>
      <c r="F17" s="15">
        <v>12</v>
      </c>
      <c r="G17" s="15">
        <v>10</v>
      </c>
      <c r="H17" s="15">
        <v>0.05</v>
      </c>
      <c r="I17" s="15" cm="1">
        <f t="array" ref="I17">G17*H17</f>
        <v>0.5</v>
      </c>
      <c r="J17" s="15" cm="1">
        <f t="array" ref="J17">D17/C17*G17</f>
        <v>200</v>
      </c>
      <c r="K17" s="15" cm="1">
        <f t="array" ref="K17">J17*H17</f>
        <v>10</v>
      </c>
      <c r="L17" s="15">
        <v>5</v>
      </c>
      <c r="M17" t="s" s="12">
        <v>39</v>
      </c>
      <c r="N17" s="13">
        <v>250</v>
      </c>
      <c r="O17" s="16"/>
      <c r="P17" s="15">
        <v>0.5</v>
      </c>
      <c r="Q17" s="9" cm="1">
        <f t="array" ref="Q17">P17*20</f>
        <v>10</v>
      </c>
      <c r="R17" s="9">
        <v>0.5</v>
      </c>
      <c r="S17" s="9" cm="1">
        <f t="array" ref="S17">R17*20</f>
        <v>10</v>
      </c>
      <c r="T17" s="9">
        <v>0.1</v>
      </c>
      <c r="U17" s="9" cm="1">
        <f t="array" ref="U17">T17*20</f>
        <v>2</v>
      </c>
      <c r="V17" s="9" cm="1">
        <f t="array" ref="V17">T17+R17+P17+L17+K17+F17</f>
        <v>28.1</v>
      </c>
      <c r="W17" s="9" cm="1">
        <f t="array" ref="W17">U17+S17+Q17+K17</f>
        <v>32</v>
      </c>
      <c r="X17" s="9" cm="1">
        <f t="array" ref="X17">W17+L17+F17</f>
        <v>49</v>
      </c>
      <c r="Y17" s="11" cm="1">
        <f t="array" ref="Y17">X17/60</f>
        <v>0.816666666666667</v>
      </c>
      <c r="Z17" t="s" s="12">
        <v>39</v>
      </c>
      <c r="AA17" s="13">
        <v>250</v>
      </c>
    </row>
    <row r="18" ht="36.45" customHeight="1">
      <c r="A18" t="s" s="5">
        <v>23</v>
      </c>
      <c r="B18" t="s" s="5">
        <v>40</v>
      </c>
      <c r="C18" s="6">
        <v>200</v>
      </c>
      <c r="D18" s="7" cm="1">
        <f t="array" ref="D18">20*C18</f>
        <v>4000</v>
      </c>
      <c r="E18" s="8">
        <v>1</v>
      </c>
      <c r="F18" s="9">
        <v>7</v>
      </c>
      <c r="G18" s="9">
        <v>2</v>
      </c>
      <c r="H18" s="9">
        <v>0.15</v>
      </c>
      <c r="I18" s="9" cm="1">
        <f t="array" ref="I18">G18*H18</f>
        <v>0.3</v>
      </c>
      <c r="J18" s="9" cm="1">
        <f t="array" ref="J18">D18/C18*G18</f>
        <v>40</v>
      </c>
      <c r="K18" s="9" cm="1">
        <f t="array" ref="K18">J18*H18</f>
        <v>6</v>
      </c>
      <c r="L18" s="9">
        <v>5</v>
      </c>
      <c r="M18" t="s" s="5">
        <v>40</v>
      </c>
      <c r="N18" s="6">
        <v>200</v>
      </c>
      <c r="O18" s="10"/>
      <c r="P18" s="9">
        <v>0.05</v>
      </c>
      <c r="Q18" s="9" cm="1">
        <f t="array" ref="Q18">P18*20</f>
        <v>1</v>
      </c>
      <c r="R18" s="9">
        <v>0.5</v>
      </c>
      <c r="S18" s="9" cm="1">
        <f t="array" ref="S18">R18*20</f>
        <v>10</v>
      </c>
      <c r="T18" s="9">
        <v>0.1</v>
      </c>
      <c r="U18" s="9" cm="1">
        <f t="array" ref="U18">T18*20</f>
        <v>2</v>
      </c>
      <c r="V18" s="9" cm="1">
        <f t="array" ref="V18">T18+R18+P18+L18+K18+F18</f>
        <v>18.65</v>
      </c>
      <c r="W18" s="9" cm="1">
        <f t="array" ref="W18">U18+S18+Q18+K18</f>
        <v>19</v>
      </c>
      <c r="X18" s="9" cm="1">
        <f t="array" ref="X18">W18+L18+F18</f>
        <v>31</v>
      </c>
      <c r="Y18" s="11" cm="1">
        <f t="array" ref="Y18">X18/60</f>
        <v>0.5166666666666671</v>
      </c>
      <c r="Z18" t="s" s="5">
        <v>40</v>
      </c>
      <c r="AA18" s="6">
        <v>200</v>
      </c>
    </row>
    <row r="19" ht="36.45" customHeight="1">
      <c r="A19" t="s" s="5">
        <v>23</v>
      </c>
      <c r="B19" t="s" s="5">
        <v>41</v>
      </c>
      <c r="C19" s="6">
        <v>250</v>
      </c>
      <c r="D19" s="7" cm="1">
        <f t="array" ref="D19">20*C19</f>
        <v>5000</v>
      </c>
      <c r="E19" s="8">
        <v>1</v>
      </c>
      <c r="F19" s="9">
        <v>7</v>
      </c>
      <c r="G19" s="9">
        <v>3</v>
      </c>
      <c r="H19" s="9">
        <v>0.1</v>
      </c>
      <c r="I19" s="9" cm="1">
        <f t="array" ref="I19">G19*H19</f>
        <v>0.3</v>
      </c>
      <c r="J19" s="9" cm="1">
        <f t="array" ref="J19">D19/C19*G19</f>
        <v>60</v>
      </c>
      <c r="K19" s="9" cm="1">
        <f t="array" ref="K19">J19*H19</f>
        <v>6</v>
      </c>
      <c r="L19" s="9">
        <v>5</v>
      </c>
      <c r="M19" t="s" s="5">
        <v>41</v>
      </c>
      <c r="N19" s="6">
        <v>250</v>
      </c>
      <c r="O19" s="10"/>
      <c r="P19" s="9">
        <v>0.1</v>
      </c>
      <c r="Q19" s="9" cm="1">
        <f t="array" ref="Q19">P19*20</f>
        <v>2</v>
      </c>
      <c r="R19" s="9">
        <v>0.5</v>
      </c>
      <c r="S19" s="9" cm="1">
        <f t="array" ref="S19">R19*20</f>
        <v>10</v>
      </c>
      <c r="T19" s="9">
        <v>0.1</v>
      </c>
      <c r="U19" s="9" cm="1">
        <f t="array" ref="U19">T19*20</f>
        <v>2</v>
      </c>
      <c r="V19" s="9" cm="1">
        <f t="array" ref="V19">T19+R19+P19+L19+K19+F19</f>
        <v>18.7</v>
      </c>
      <c r="W19" s="9" cm="1">
        <f t="array" ref="W19">U19+S19+Q19+K19</f>
        <v>20</v>
      </c>
      <c r="X19" s="9" cm="1">
        <f t="array" ref="X19">W19+L19+F19</f>
        <v>32</v>
      </c>
      <c r="Y19" s="11" cm="1">
        <f t="array" ref="Y19">X19/60</f>
        <v>0.533333333333333</v>
      </c>
      <c r="Z19" t="s" s="5">
        <v>41</v>
      </c>
      <c r="AA19" s="6">
        <v>250</v>
      </c>
    </row>
    <row r="20" ht="39.7" customHeight="1">
      <c r="A20" t="s" s="5">
        <v>23</v>
      </c>
      <c r="B20" t="s" s="5">
        <v>42</v>
      </c>
      <c r="C20" s="6">
        <v>50</v>
      </c>
      <c r="D20" s="7" cm="1">
        <f t="array" ref="D20">20*C20</f>
        <v>1000</v>
      </c>
      <c r="E20" s="8">
        <v>1</v>
      </c>
      <c r="F20" s="9">
        <v>7</v>
      </c>
      <c r="G20" s="9">
        <v>2</v>
      </c>
      <c r="H20" s="9">
        <v>0.2</v>
      </c>
      <c r="I20" s="9" cm="1">
        <f t="array" ref="I20">G20*H20</f>
        <v>0.4</v>
      </c>
      <c r="J20" s="9" cm="1">
        <f t="array" ref="J20">D20/C20*G20</f>
        <v>40</v>
      </c>
      <c r="K20" s="9" cm="1">
        <f t="array" ref="K20">J20*H20</f>
        <v>8</v>
      </c>
      <c r="L20" s="9">
        <v>5</v>
      </c>
      <c r="M20" t="s" s="5">
        <v>42</v>
      </c>
      <c r="N20" s="6">
        <v>50</v>
      </c>
      <c r="O20" s="10"/>
      <c r="P20" s="9">
        <v>0.1</v>
      </c>
      <c r="Q20" s="9" cm="1">
        <f t="array" ref="Q20">P20*20</f>
        <v>2</v>
      </c>
      <c r="R20" s="9">
        <v>0.5</v>
      </c>
      <c r="S20" s="9" cm="1">
        <f t="array" ref="S20">R20*20</f>
        <v>10</v>
      </c>
      <c r="T20" s="9">
        <v>0.1</v>
      </c>
      <c r="U20" s="9" cm="1">
        <f t="array" ref="U20">T20*20</f>
        <v>2</v>
      </c>
      <c r="V20" s="9" cm="1">
        <f t="array" ref="V20">T20+R20+P20+L20+K20+F20</f>
        <v>20.7</v>
      </c>
      <c r="W20" s="9" cm="1">
        <f t="array" ref="W20">U20+S20+Q20+K20</f>
        <v>22</v>
      </c>
      <c r="X20" s="9" cm="1">
        <f t="array" ref="X20">W20+L20+F20</f>
        <v>34</v>
      </c>
      <c r="Y20" s="11" cm="1">
        <f t="array" ref="Y20">X20/60</f>
        <v>0.566666666666667</v>
      </c>
      <c r="Z20" t="s" s="5">
        <v>42</v>
      </c>
      <c r="AA20" s="6">
        <v>50</v>
      </c>
    </row>
    <row r="21" ht="20.45" customHeight="1">
      <c r="A21" t="s" s="5">
        <v>29</v>
      </c>
      <c r="B21" t="s" s="5">
        <v>43</v>
      </c>
      <c r="C21" s="6">
        <v>250</v>
      </c>
      <c r="D21" s="7" cm="1">
        <f t="array" ref="D21">20*C21</f>
        <v>5000</v>
      </c>
      <c r="E21" s="8">
        <v>1</v>
      </c>
      <c r="F21" s="9">
        <v>7</v>
      </c>
      <c r="G21" s="9">
        <v>3</v>
      </c>
      <c r="H21" s="9">
        <v>0.5</v>
      </c>
      <c r="I21" s="9" cm="1">
        <f t="array" ref="I21">G21*H21</f>
        <v>1.5</v>
      </c>
      <c r="J21" s="9" cm="1">
        <f t="array" ref="J21">D21/C21*G21</f>
        <v>60</v>
      </c>
      <c r="K21" s="9" cm="1">
        <f t="array" ref="K21">J21*H21</f>
        <v>30</v>
      </c>
      <c r="L21" s="9">
        <v>5</v>
      </c>
      <c r="M21" t="s" s="5">
        <v>43</v>
      </c>
      <c r="N21" s="6">
        <v>250</v>
      </c>
      <c r="O21" s="10"/>
      <c r="P21" s="9">
        <v>0.1</v>
      </c>
      <c r="Q21" s="9" cm="1">
        <f t="array" ref="Q21">P21*20</f>
        <v>2</v>
      </c>
      <c r="R21" s="9">
        <v>0.5</v>
      </c>
      <c r="S21" s="9" cm="1">
        <f t="array" ref="S21">R21*20</f>
        <v>10</v>
      </c>
      <c r="T21" s="9">
        <v>0.1</v>
      </c>
      <c r="U21" s="9" cm="1">
        <f t="array" ref="U21">T21*20</f>
        <v>2</v>
      </c>
      <c r="V21" s="9" cm="1">
        <f t="array" ref="V21">T21+R21+P21+L21+K21+F21</f>
        <v>42.7</v>
      </c>
      <c r="W21" s="9" cm="1">
        <f t="array" ref="W21">U21+S21+Q21+K21</f>
        <v>44</v>
      </c>
      <c r="X21" s="9" cm="1">
        <f t="array" ref="X21">W21+L21+F21</f>
        <v>56</v>
      </c>
      <c r="Y21" s="11" cm="1">
        <f t="array" ref="Y21">X21/60</f>
        <v>0.933333333333333</v>
      </c>
      <c r="Z21" t="s" s="5">
        <v>43</v>
      </c>
      <c r="AA21" s="6">
        <v>250</v>
      </c>
    </row>
    <row r="22" ht="20.45" customHeight="1">
      <c r="A22" t="s" s="5">
        <v>44</v>
      </c>
      <c r="B22" t="s" s="5">
        <v>45</v>
      </c>
      <c r="C22" s="6">
        <v>250</v>
      </c>
      <c r="D22" s="7" cm="1">
        <f t="array" ref="D22">20*C22</f>
        <v>5000</v>
      </c>
      <c r="E22" s="8">
        <v>1</v>
      </c>
      <c r="F22" s="9">
        <v>7</v>
      </c>
      <c r="G22" s="9">
        <v>1</v>
      </c>
      <c r="H22" s="9">
        <v>0.2</v>
      </c>
      <c r="I22" s="9" cm="1">
        <f t="array" ref="I22">G22*H22</f>
        <v>0.2</v>
      </c>
      <c r="J22" s="9" cm="1">
        <f t="array" ref="J22">D22/C22*G22</f>
        <v>20</v>
      </c>
      <c r="K22" s="9" cm="1">
        <f t="array" ref="K22">J22*H22</f>
        <v>4</v>
      </c>
      <c r="L22" s="9">
        <v>20</v>
      </c>
      <c r="M22" t="s" s="5">
        <v>45</v>
      </c>
      <c r="N22" s="6">
        <v>250</v>
      </c>
      <c r="O22" s="10"/>
      <c r="P22" s="9">
        <v>0.05</v>
      </c>
      <c r="Q22" s="9" cm="1">
        <f t="array" ref="Q22">P22*20</f>
        <v>1</v>
      </c>
      <c r="R22" s="9">
        <v>0.5</v>
      </c>
      <c r="S22" s="9" cm="1">
        <f t="array" ref="S22">R22*20</f>
        <v>10</v>
      </c>
      <c r="T22" s="9">
        <v>0.1</v>
      </c>
      <c r="U22" s="9" cm="1">
        <f t="array" ref="U22">T22*20</f>
        <v>2</v>
      </c>
      <c r="V22" s="9" cm="1">
        <f t="array" ref="V22">T22+R22+P22+L22+K22+F22</f>
        <v>31.65</v>
      </c>
      <c r="W22" s="9" cm="1">
        <f t="array" ref="W22">U22+S22+Q22+K22</f>
        <v>17</v>
      </c>
      <c r="X22" s="9" cm="1">
        <f t="array" ref="X22">W22+L22+F22</f>
        <v>44</v>
      </c>
      <c r="Y22" s="11" cm="1">
        <f t="array" ref="Y22">X22/60</f>
        <v>0.7333333333333329</v>
      </c>
      <c r="Z22" t="s" s="5">
        <v>45</v>
      </c>
      <c r="AA22" s="6">
        <v>250</v>
      </c>
    </row>
    <row r="23" ht="20.45" customHeight="1">
      <c r="A23" t="s" s="5">
        <v>29</v>
      </c>
      <c r="B23" t="s" s="5">
        <v>46</v>
      </c>
      <c r="C23" s="6">
        <v>250</v>
      </c>
      <c r="D23" s="7" cm="1">
        <f t="array" ref="D23">20*C23</f>
        <v>5000</v>
      </c>
      <c r="E23" s="8">
        <v>1</v>
      </c>
      <c r="F23" s="9">
        <v>7</v>
      </c>
      <c r="G23" s="9">
        <v>1</v>
      </c>
      <c r="H23" s="9">
        <v>0.2</v>
      </c>
      <c r="I23" s="9" cm="1">
        <f t="array" ref="I23">G23*H23</f>
        <v>0.2</v>
      </c>
      <c r="J23" s="9" cm="1">
        <f t="array" ref="J23">D23/C23*G23</f>
        <v>20</v>
      </c>
      <c r="K23" s="9" cm="1">
        <f t="array" ref="K23">J23*H23</f>
        <v>4</v>
      </c>
      <c r="L23" s="9">
        <v>20</v>
      </c>
      <c r="M23" t="s" s="5">
        <v>46</v>
      </c>
      <c r="N23" s="6">
        <v>250</v>
      </c>
      <c r="O23" s="10"/>
      <c r="P23" s="9">
        <v>0.05</v>
      </c>
      <c r="Q23" s="9" cm="1">
        <f t="array" ref="Q23">P23*20</f>
        <v>1</v>
      </c>
      <c r="R23" s="9">
        <v>0.5</v>
      </c>
      <c r="S23" s="9" cm="1">
        <f t="array" ref="S23">R23*20</f>
        <v>10</v>
      </c>
      <c r="T23" s="9">
        <v>0.1</v>
      </c>
      <c r="U23" s="9" cm="1">
        <f t="array" ref="U23">T23*20</f>
        <v>2</v>
      </c>
      <c r="V23" s="9" cm="1">
        <f t="array" ref="V23">T23+R23+P23+L23+K23+F23</f>
        <v>31.65</v>
      </c>
      <c r="W23" s="9" cm="1">
        <f t="array" ref="W23">U23+S23+Q23+K23</f>
        <v>17</v>
      </c>
      <c r="X23" s="9" cm="1">
        <f t="array" ref="X23">W23+L23+F23</f>
        <v>44</v>
      </c>
      <c r="Y23" s="11" cm="1">
        <f t="array" ref="Y23">X23/60</f>
        <v>0.7333333333333329</v>
      </c>
      <c r="Z23" t="s" s="5">
        <v>46</v>
      </c>
      <c r="AA23" s="6">
        <v>250</v>
      </c>
    </row>
    <row r="24" ht="20.45" customHeight="1">
      <c r="A24" t="s" s="5">
        <v>29</v>
      </c>
      <c r="B24" t="s" s="5">
        <v>47</v>
      </c>
      <c r="C24" s="6">
        <v>250</v>
      </c>
      <c r="D24" s="7" cm="1">
        <f t="array" ref="D24">20*C24</f>
        <v>5000</v>
      </c>
      <c r="E24" s="8">
        <v>1</v>
      </c>
      <c r="F24" s="9">
        <v>6</v>
      </c>
      <c r="G24" s="9">
        <v>10</v>
      </c>
      <c r="H24" s="9">
        <v>0.1</v>
      </c>
      <c r="I24" s="9" cm="1">
        <f t="array" ref="I24">G24*H24</f>
        <v>1</v>
      </c>
      <c r="J24" s="9" cm="1">
        <f t="array" ref="J24">D24/C24*G24</f>
        <v>200</v>
      </c>
      <c r="K24" s="9" cm="1">
        <f t="array" ref="K24">J24*H24</f>
        <v>20</v>
      </c>
      <c r="L24" s="9">
        <v>5</v>
      </c>
      <c r="M24" t="s" s="5">
        <v>47</v>
      </c>
      <c r="N24" s="6">
        <v>250</v>
      </c>
      <c r="O24" s="10"/>
      <c r="P24" s="9">
        <v>0.1</v>
      </c>
      <c r="Q24" s="9" cm="1">
        <f t="array" ref="Q24">P24*20</f>
        <v>2</v>
      </c>
      <c r="R24" s="9">
        <v>0.5</v>
      </c>
      <c r="S24" s="9" cm="1">
        <f t="array" ref="S24">R24*20</f>
        <v>10</v>
      </c>
      <c r="T24" s="9">
        <v>0.1</v>
      </c>
      <c r="U24" s="9" cm="1">
        <f t="array" ref="U24">T24*20</f>
        <v>2</v>
      </c>
      <c r="V24" s="9" cm="1">
        <f t="array" ref="V24">T24+R24+P24+L24+K24+F24</f>
        <v>31.7</v>
      </c>
      <c r="W24" s="9" cm="1">
        <f t="array" ref="W24">U24+S24+Q24+K24</f>
        <v>34</v>
      </c>
      <c r="X24" s="9" cm="1">
        <f t="array" ref="X24">W24+L24+F24</f>
        <v>45</v>
      </c>
      <c r="Y24" s="11" cm="1">
        <f t="array" ref="Y24">X24/60</f>
        <v>0.75</v>
      </c>
      <c r="Z24" t="s" s="5">
        <v>47</v>
      </c>
      <c r="AA24" s="6">
        <v>250</v>
      </c>
    </row>
    <row r="25" ht="20.45" customHeight="1">
      <c r="A25" t="s" s="5">
        <v>29</v>
      </c>
      <c r="B25" t="s" s="5">
        <v>48</v>
      </c>
      <c r="C25" s="6">
        <v>250</v>
      </c>
      <c r="D25" s="7" cm="1">
        <f t="array" ref="D25">20*C25</f>
        <v>5000</v>
      </c>
      <c r="E25" s="8">
        <v>1</v>
      </c>
      <c r="F25" s="9">
        <v>6</v>
      </c>
      <c r="G25" s="9">
        <v>1</v>
      </c>
      <c r="H25" s="9">
        <v>0.2</v>
      </c>
      <c r="I25" s="9" cm="1">
        <f t="array" ref="I25">G25*H25</f>
        <v>0.2</v>
      </c>
      <c r="J25" s="9" cm="1">
        <f t="array" ref="J25">D25/C25*G25</f>
        <v>20</v>
      </c>
      <c r="K25" s="9" cm="1">
        <f t="array" ref="K25">J25*H25</f>
        <v>4</v>
      </c>
      <c r="L25" s="9">
        <v>5</v>
      </c>
      <c r="M25" t="s" s="5">
        <v>48</v>
      </c>
      <c r="N25" s="6">
        <v>250</v>
      </c>
      <c r="O25" s="10"/>
      <c r="P25" s="9">
        <v>0.1</v>
      </c>
      <c r="Q25" s="9" cm="1">
        <f t="array" ref="Q25">P25*20</f>
        <v>2</v>
      </c>
      <c r="R25" s="9">
        <v>0.5</v>
      </c>
      <c r="S25" s="9" cm="1">
        <f t="array" ref="S25">R25*20</f>
        <v>10</v>
      </c>
      <c r="T25" s="9">
        <v>0.1</v>
      </c>
      <c r="U25" s="9" cm="1">
        <f t="array" ref="U25">T25*20</f>
        <v>2</v>
      </c>
      <c r="V25" s="9" cm="1">
        <f t="array" ref="V25">T25+R25+P25+L25+K25+F25</f>
        <v>15.7</v>
      </c>
      <c r="W25" s="9" cm="1">
        <f t="array" ref="W25">U25+S25+Q25+K25</f>
        <v>18</v>
      </c>
      <c r="X25" s="9" cm="1">
        <f t="array" ref="X25">W25+L25+F25</f>
        <v>29</v>
      </c>
      <c r="Y25" s="11" cm="1">
        <f t="array" ref="Y25">X25/60</f>
        <v>0.483333333333333</v>
      </c>
      <c r="Z25" t="s" s="5">
        <v>48</v>
      </c>
      <c r="AA25" s="6">
        <v>250</v>
      </c>
    </row>
    <row r="26" ht="20.45" customHeight="1">
      <c r="A26" t="s" s="5">
        <v>44</v>
      </c>
      <c r="B26" t="s" s="5">
        <v>49</v>
      </c>
      <c r="C26" s="6">
        <v>250</v>
      </c>
      <c r="D26" s="7" cm="1">
        <f t="array" ref="D26">20*C26</f>
        <v>5000</v>
      </c>
      <c r="E26" s="8">
        <v>1</v>
      </c>
      <c r="F26" s="9">
        <v>6</v>
      </c>
      <c r="G26" s="9">
        <v>1</v>
      </c>
      <c r="H26" s="9">
        <v>0.15</v>
      </c>
      <c r="I26" s="9" cm="1">
        <f t="array" ref="I26">G26*H26</f>
        <v>0.15</v>
      </c>
      <c r="J26" s="9" cm="1">
        <f t="array" ref="J26">D26/C26*G26</f>
        <v>20</v>
      </c>
      <c r="K26" s="9" cm="1">
        <f t="array" ref="K26">J26*H26</f>
        <v>3</v>
      </c>
      <c r="L26" s="9">
        <v>5</v>
      </c>
      <c r="M26" t="s" s="5">
        <v>49</v>
      </c>
      <c r="N26" s="6">
        <v>250</v>
      </c>
      <c r="O26" s="10"/>
      <c r="P26" s="9">
        <v>0.05</v>
      </c>
      <c r="Q26" s="9" cm="1">
        <f t="array" ref="Q26">P26*20</f>
        <v>1</v>
      </c>
      <c r="R26" s="9">
        <v>0.5</v>
      </c>
      <c r="S26" s="9" cm="1">
        <f t="array" ref="S26">R26*20</f>
        <v>10</v>
      </c>
      <c r="T26" s="9">
        <v>0.1</v>
      </c>
      <c r="U26" s="9" cm="1">
        <f t="array" ref="U26">T26*20</f>
        <v>2</v>
      </c>
      <c r="V26" s="9" cm="1">
        <f t="array" ref="V26">T26+R26+P26+L26+K26+F26</f>
        <v>14.65</v>
      </c>
      <c r="W26" s="9" cm="1">
        <f t="array" ref="W26">U26+S26+Q26+K26</f>
        <v>16</v>
      </c>
      <c r="X26" s="9" cm="1">
        <f t="array" ref="X26">W26+L26+F26</f>
        <v>27</v>
      </c>
      <c r="Y26" s="11" cm="1">
        <f t="array" ref="Y26">X26/60</f>
        <v>0.45</v>
      </c>
      <c r="Z26" t="s" s="5">
        <v>49</v>
      </c>
      <c r="AA26" s="6">
        <v>250</v>
      </c>
    </row>
    <row r="27" ht="20.45" customHeight="1">
      <c r="A27" t="s" s="5">
        <v>29</v>
      </c>
      <c r="B27" t="s" s="5">
        <v>50</v>
      </c>
      <c r="C27" s="6">
        <v>250</v>
      </c>
      <c r="D27" s="7" cm="1">
        <f t="array" ref="D27">20*C27</f>
        <v>5000</v>
      </c>
      <c r="E27" s="8">
        <v>1</v>
      </c>
      <c r="F27" s="9">
        <v>6</v>
      </c>
      <c r="G27" s="9">
        <v>7</v>
      </c>
      <c r="H27" s="9">
        <v>0.1</v>
      </c>
      <c r="I27" s="9" cm="1">
        <f t="array" ref="I27">G27*H27</f>
        <v>0.7</v>
      </c>
      <c r="J27" s="9" cm="1">
        <f t="array" ref="J27">D27/C27*G27</f>
        <v>140</v>
      </c>
      <c r="K27" s="9" cm="1">
        <f t="array" ref="K27">J27*H27</f>
        <v>14</v>
      </c>
      <c r="L27" s="9">
        <v>5</v>
      </c>
      <c r="M27" t="s" s="5">
        <v>50</v>
      </c>
      <c r="N27" s="6">
        <v>250</v>
      </c>
      <c r="O27" s="10"/>
      <c r="P27" s="9">
        <v>0.1</v>
      </c>
      <c r="Q27" s="9" cm="1">
        <f t="array" ref="Q27">P27*20</f>
        <v>2</v>
      </c>
      <c r="R27" s="9">
        <v>0.5</v>
      </c>
      <c r="S27" s="9" cm="1">
        <f t="array" ref="S27">R27*20</f>
        <v>10</v>
      </c>
      <c r="T27" s="9">
        <v>0.1</v>
      </c>
      <c r="U27" s="9" cm="1">
        <f t="array" ref="U27">T27*20</f>
        <v>2</v>
      </c>
      <c r="V27" s="9" cm="1">
        <f t="array" ref="V27">T27+R27+P27+L27+K27+F27</f>
        <v>25.7</v>
      </c>
      <c r="W27" s="9" cm="1">
        <f t="array" ref="W27">U27+S27+Q27+K27</f>
        <v>28</v>
      </c>
      <c r="X27" s="9" cm="1">
        <f t="array" ref="X27">W27+L27+F27</f>
        <v>39</v>
      </c>
      <c r="Y27" s="11" cm="1">
        <f t="array" ref="Y27">X27/60</f>
        <v>0.65</v>
      </c>
      <c r="Z27" t="s" s="5">
        <v>50</v>
      </c>
      <c r="AA27" s="6">
        <v>250</v>
      </c>
    </row>
    <row r="28" ht="20.45" customHeight="1">
      <c r="A28" t="s" s="5">
        <v>29</v>
      </c>
      <c r="B28" t="s" s="5">
        <v>51</v>
      </c>
      <c r="C28" s="6">
        <v>250</v>
      </c>
      <c r="D28" s="7" cm="1">
        <f t="array" ref="D28">20*C28</f>
        <v>5000</v>
      </c>
      <c r="E28" s="8">
        <v>1</v>
      </c>
      <c r="F28" s="9">
        <v>6</v>
      </c>
      <c r="G28" s="9">
        <v>5</v>
      </c>
      <c r="H28" s="9">
        <v>0.1</v>
      </c>
      <c r="I28" s="9" cm="1">
        <f t="array" ref="I28">G28*H28</f>
        <v>0.5</v>
      </c>
      <c r="J28" s="9" cm="1">
        <f t="array" ref="J28">D28/C28*G28</f>
        <v>100</v>
      </c>
      <c r="K28" s="9" cm="1">
        <f t="array" ref="K28">J28*H28</f>
        <v>10</v>
      </c>
      <c r="L28" s="9">
        <v>5</v>
      </c>
      <c r="M28" t="s" s="5">
        <v>51</v>
      </c>
      <c r="N28" s="6">
        <v>250</v>
      </c>
      <c r="O28" s="10"/>
      <c r="P28" s="9">
        <v>0.1</v>
      </c>
      <c r="Q28" s="9" cm="1">
        <f t="array" ref="Q28">P28*20</f>
        <v>2</v>
      </c>
      <c r="R28" s="9">
        <v>0.5</v>
      </c>
      <c r="S28" s="9" cm="1">
        <f t="array" ref="S28">R28*20</f>
        <v>10</v>
      </c>
      <c r="T28" s="9">
        <v>0.1</v>
      </c>
      <c r="U28" s="9" cm="1">
        <f t="array" ref="U28">T28*20</f>
        <v>2</v>
      </c>
      <c r="V28" s="9" cm="1">
        <f t="array" ref="V28">T28+R28+P28+L28+K28+F28</f>
        <v>21.7</v>
      </c>
      <c r="W28" s="9" cm="1">
        <f t="array" ref="W28">U28+S28+Q28+K28</f>
        <v>24</v>
      </c>
      <c r="X28" s="9" cm="1">
        <f t="array" ref="X28">W28+L28+F28</f>
        <v>35</v>
      </c>
      <c r="Y28" s="11" cm="1">
        <f t="array" ref="Y28">X28/60</f>
        <v>0.583333333333333</v>
      </c>
      <c r="Z28" t="s" s="5">
        <v>51</v>
      </c>
      <c r="AA28" s="6">
        <v>250</v>
      </c>
    </row>
    <row r="29" ht="20.45" customHeight="1">
      <c r="A29" t="s" s="5">
        <v>29</v>
      </c>
      <c r="B29" t="s" s="5">
        <v>52</v>
      </c>
      <c r="C29" s="6">
        <v>250</v>
      </c>
      <c r="D29" s="7" cm="1">
        <f t="array" ref="D29">20*C29</f>
        <v>5000</v>
      </c>
      <c r="E29" s="8">
        <v>1</v>
      </c>
      <c r="F29" s="9">
        <v>6</v>
      </c>
      <c r="G29" s="9">
        <v>1</v>
      </c>
      <c r="H29" s="9">
        <v>0.1</v>
      </c>
      <c r="I29" s="9" cm="1">
        <f t="array" ref="I29">G29*H29</f>
        <v>0.1</v>
      </c>
      <c r="J29" s="9" cm="1">
        <f t="array" ref="J29">D29/C29*G29</f>
        <v>20</v>
      </c>
      <c r="K29" s="9" cm="1">
        <f t="array" ref="K29">J29*H29</f>
        <v>2</v>
      </c>
      <c r="L29" s="9">
        <v>5</v>
      </c>
      <c r="M29" t="s" s="5">
        <v>52</v>
      </c>
      <c r="N29" s="6">
        <v>250</v>
      </c>
      <c r="O29" s="10"/>
      <c r="P29" s="9">
        <v>0.05</v>
      </c>
      <c r="Q29" s="9" cm="1">
        <f t="array" ref="Q29">P29*20</f>
        <v>1</v>
      </c>
      <c r="R29" s="9">
        <v>0.5</v>
      </c>
      <c r="S29" s="9" cm="1">
        <f t="array" ref="S29">R29*20</f>
        <v>10</v>
      </c>
      <c r="T29" s="9">
        <v>0.1</v>
      </c>
      <c r="U29" s="9" cm="1">
        <f t="array" ref="U29">T29*20</f>
        <v>2</v>
      </c>
      <c r="V29" s="9" cm="1">
        <f t="array" ref="V29">T29+R29+P29+L29+K29+F29</f>
        <v>13.65</v>
      </c>
      <c r="W29" s="9" cm="1">
        <f t="array" ref="W29">U29+S29+Q29+K29</f>
        <v>15</v>
      </c>
      <c r="X29" s="9" cm="1">
        <f t="array" ref="X29">W29+L29+F29</f>
        <v>26</v>
      </c>
      <c r="Y29" s="11" cm="1">
        <f t="array" ref="Y29">X29/60</f>
        <v>0.433333333333333</v>
      </c>
      <c r="Z29" t="s" s="5">
        <v>52</v>
      </c>
      <c r="AA29" s="6">
        <v>250</v>
      </c>
    </row>
    <row r="30" ht="20.45" customHeight="1">
      <c r="A30" t="s" s="5">
        <v>29</v>
      </c>
      <c r="B30" t="s" s="5">
        <v>53</v>
      </c>
      <c r="C30" s="6">
        <v>250</v>
      </c>
      <c r="D30" s="7" cm="1">
        <f t="array" ref="D30">20*C30</f>
        <v>5000</v>
      </c>
      <c r="E30" s="8">
        <v>1</v>
      </c>
      <c r="F30" s="9">
        <v>6</v>
      </c>
      <c r="G30" s="9">
        <v>15</v>
      </c>
      <c r="H30" s="9">
        <v>0.05</v>
      </c>
      <c r="I30" s="9" cm="1">
        <f t="array" ref="I30">G30*H30</f>
        <v>0.75</v>
      </c>
      <c r="J30" s="9" cm="1">
        <f t="array" ref="J30">D30/C30*G30</f>
        <v>300</v>
      </c>
      <c r="K30" s="9" cm="1">
        <f t="array" ref="K30">J30*H30</f>
        <v>15</v>
      </c>
      <c r="L30" s="9">
        <v>5</v>
      </c>
      <c r="M30" t="s" s="5">
        <v>53</v>
      </c>
      <c r="N30" s="6">
        <v>250</v>
      </c>
      <c r="O30" s="10"/>
      <c r="P30" s="9">
        <v>0.1</v>
      </c>
      <c r="Q30" s="9" cm="1">
        <f t="array" ref="Q30">P30*20</f>
        <v>2</v>
      </c>
      <c r="R30" s="9">
        <v>0.5</v>
      </c>
      <c r="S30" s="9" cm="1">
        <f t="array" ref="S30">R30*20</f>
        <v>10</v>
      </c>
      <c r="T30" s="9">
        <v>0.1</v>
      </c>
      <c r="U30" s="9" cm="1">
        <f t="array" ref="U30">T30*20</f>
        <v>2</v>
      </c>
      <c r="V30" s="9" cm="1">
        <f t="array" ref="V30">T30+R30+P30+L30+K30+F30</f>
        <v>26.7</v>
      </c>
      <c r="W30" s="9" cm="1">
        <f t="array" ref="W30">U30+S30+Q30+K30</f>
        <v>29</v>
      </c>
      <c r="X30" s="9" cm="1">
        <f t="array" ref="X30">W30+L30+F30</f>
        <v>40</v>
      </c>
      <c r="Y30" s="11" cm="1">
        <f t="array" ref="Y30">X30/60</f>
        <v>0.666666666666667</v>
      </c>
      <c r="Z30" t="s" s="5">
        <v>53</v>
      </c>
      <c r="AA30" s="6">
        <v>250</v>
      </c>
    </row>
    <row r="31" ht="20.45" customHeight="1">
      <c r="A31" t="s" s="5">
        <v>29</v>
      </c>
      <c r="B31" t="s" s="5">
        <v>54</v>
      </c>
      <c r="C31" s="6">
        <v>250</v>
      </c>
      <c r="D31" s="7" cm="1">
        <f t="array" ref="D31">20*C31</f>
        <v>5000</v>
      </c>
      <c r="E31" s="8">
        <v>1</v>
      </c>
      <c r="F31" s="9">
        <v>6</v>
      </c>
      <c r="G31" s="9">
        <v>7</v>
      </c>
      <c r="H31" s="9">
        <v>0.1</v>
      </c>
      <c r="I31" s="9" cm="1">
        <f t="array" ref="I31">G31*H31</f>
        <v>0.7</v>
      </c>
      <c r="J31" s="9" cm="1">
        <f t="array" ref="J31">D31/C31*G31</f>
        <v>140</v>
      </c>
      <c r="K31" s="9" cm="1">
        <f t="array" ref="K31">J31*H31</f>
        <v>14</v>
      </c>
      <c r="L31" s="9">
        <v>5</v>
      </c>
      <c r="M31" t="s" s="5">
        <v>54</v>
      </c>
      <c r="N31" s="6">
        <v>250</v>
      </c>
      <c r="O31" s="10"/>
      <c r="P31" s="9">
        <v>0.1</v>
      </c>
      <c r="Q31" s="9" cm="1">
        <f t="array" ref="Q31">P31*20</f>
        <v>2</v>
      </c>
      <c r="R31" s="9">
        <v>0.5</v>
      </c>
      <c r="S31" s="9" cm="1">
        <f t="array" ref="S31">R31*20</f>
        <v>10</v>
      </c>
      <c r="T31" s="9">
        <v>0.1</v>
      </c>
      <c r="U31" s="9" cm="1">
        <f t="array" ref="U31">T31*20</f>
        <v>2</v>
      </c>
      <c r="V31" s="9" cm="1">
        <f t="array" ref="V31">T31+R31+P31+L31+K31+F31</f>
        <v>25.7</v>
      </c>
      <c r="W31" s="9" cm="1">
        <f t="array" ref="W31">U31+S31+Q31+K31</f>
        <v>28</v>
      </c>
      <c r="X31" s="9" cm="1">
        <f t="array" ref="X31">W31+L31+F31</f>
        <v>39</v>
      </c>
      <c r="Y31" s="11" cm="1">
        <f t="array" ref="Y31">X31/60</f>
        <v>0.65</v>
      </c>
      <c r="Z31" t="s" s="5">
        <v>54</v>
      </c>
      <c r="AA31" s="6">
        <v>250</v>
      </c>
    </row>
    <row r="32" ht="20.45" customHeight="1">
      <c r="A32" t="s" s="5">
        <v>29</v>
      </c>
      <c r="B32" t="s" s="5">
        <v>55</v>
      </c>
      <c r="C32" s="6">
        <v>250</v>
      </c>
      <c r="D32" s="7" cm="1">
        <f t="array" ref="D32">20*C32</f>
        <v>5000</v>
      </c>
      <c r="E32" s="8">
        <v>1</v>
      </c>
      <c r="F32" s="9">
        <v>6</v>
      </c>
      <c r="G32" s="9">
        <v>4</v>
      </c>
      <c r="H32" s="9">
        <v>0.15</v>
      </c>
      <c r="I32" s="9" cm="1">
        <f t="array" ref="I32">G32*H32</f>
        <v>0.6</v>
      </c>
      <c r="J32" s="9" cm="1">
        <f t="array" ref="J32">D32/C32*G32</f>
        <v>80</v>
      </c>
      <c r="K32" s="9" cm="1">
        <f t="array" ref="K32">J32*H32</f>
        <v>12</v>
      </c>
      <c r="L32" s="9">
        <v>5</v>
      </c>
      <c r="M32" t="s" s="5">
        <v>55</v>
      </c>
      <c r="N32" s="6">
        <v>250</v>
      </c>
      <c r="O32" s="10"/>
      <c r="P32" s="9">
        <v>0.15</v>
      </c>
      <c r="Q32" s="9" cm="1">
        <f t="array" ref="Q32">P32*20</f>
        <v>3</v>
      </c>
      <c r="R32" s="9">
        <v>0.5</v>
      </c>
      <c r="S32" s="9" cm="1">
        <f t="array" ref="S32">R32*20</f>
        <v>10</v>
      </c>
      <c r="T32" s="9">
        <v>0.1</v>
      </c>
      <c r="U32" s="9" cm="1">
        <f t="array" ref="U32">T32*20</f>
        <v>2</v>
      </c>
      <c r="V32" s="9" cm="1">
        <f t="array" ref="V32">T32+R32+P32+L32+K32+F32</f>
        <v>23.75</v>
      </c>
      <c r="W32" s="9" cm="1">
        <f t="array" ref="W32">U32+S32+Q32+K32</f>
        <v>27</v>
      </c>
      <c r="X32" s="9" cm="1">
        <f t="array" ref="X32">W32+L32+F32</f>
        <v>38</v>
      </c>
      <c r="Y32" s="11" cm="1">
        <f t="array" ref="Y32">X32/60</f>
        <v>0.633333333333333</v>
      </c>
      <c r="Z32" t="s" s="5">
        <v>55</v>
      </c>
      <c r="AA32" s="6">
        <v>250</v>
      </c>
    </row>
    <row r="33" ht="20.45" customHeight="1">
      <c r="A33" t="s" s="5">
        <v>29</v>
      </c>
      <c r="B33" t="s" s="5">
        <v>56</v>
      </c>
      <c r="C33" s="6">
        <v>250</v>
      </c>
      <c r="D33" s="7" cm="1">
        <f t="array" ref="D33">20*C33</f>
        <v>5000</v>
      </c>
      <c r="E33" s="8">
        <v>1</v>
      </c>
      <c r="F33" s="9">
        <v>6</v>
      </c>
      <c r="G33" s="9">
        <v>5</v>
      </c>
      <c r="H33" s="9">
        <v>0.15</v>
      </c>
      <c r="I33" s="9" cm="1">
        <f t="array" ref="I33">G33*H33</f>
        <v>0.75</v>
      </c>
      <c r="J33" s="9" cm="1">
        <f t="array" ref="J33">D33/C33*G33</f>
        <v>100</v>
      </c>
      <c r="K33" s="9" cm="1">
        <f t="array" ref="K33">J33*H33</f>
        <v>15</v>
      </c>
      <c r="L33" s="9">
        <v>5</v>
      </c>
      <c r="M33" t="s" s="5">
        <v>56</v>
      </c>
      <c r="N33" s="6">
        <v>250</v>
      </c>
      <c r="O33" s="10"/>
      <c r="P33" s="9">
        <v>0.1</v>
      </c>
      <c r="Q33" s="9" cm="1">
        <f t="array" ref="Q33">P33*20</f>
        <v>2</v>
      </c>
      <c r="R33" s="9">
        <v>0.5</v>
      </c>
      <c r="S33" s="9" cm="1">
        <f t="array" ref="S33">R33*20</f>
        <v>10</v>
      </c>
      <c r="T33" s="9">
        <v>0.1</v>
      </c>
      <c r="U33" s="9" cm="1">
        <f t="array" ref="U33">T33*20</f>
        <v>2</v>
      </c>
      <c r="V33" s="9" cm="1">
        <f t="array" ref="V33">T33+R33+P33+L33+K33+F33</f>
        <v>26.7</v>
      </c>
      <c r="W33" s="9" cm="1">
        <f t="array" ref="W33">U33+S33+Q33+K33</f>
        <v>29</v>
      </c>
      <c r="X33" s="9" cm="1">
        <f t="array" ref="X33">W33+L33+F33</f>
        <v>40</v>
      </c>
      <c r="Y33" s="11" cm="1">
        <f t="array" ref="Y33">X33/60</f>
        <v>0.666666666666667</v>
      </c>
      <c r="Z33" t="s" s="5">
        <v>56</v>
      </c>
      <c r="AA33" s="6">
        <v>250</v>
      </c>
    </row>
    <row r="34" ht="20.45" customHeight="1">
      <c r="A34" t="s" s="5">
        <v>44</v>
      </c>
      <c r="B34" t="s" s="5">
        <v>57</v>
      </c>
      <c r="C34" s="6">
        <v>250</v>
      </c>
      <c r="D34" s="7" cm="1">
        <f t="array" ref="D34">20*C34</f>
        <v>5000</v>
      </c>
      <c r="E34" s="8">
        <v>1</v>
      </c>
      <c r="F34" s="9">
        <v>6</v>
      </c>
      <c r="G34" s="9">
        <v>5</v>
      </c>
      <c r="H34" s="9">
        <v>0.15</v>
      </c>
      <c r="I34" s="9" cm="1">
        <f t="array" ref="I34">G34*H34</f>
        <v>0.75</v>
      </c>
      <c r="J34" s="9" cm="1">
        <f t="array" ref="J34">D34/C34*G34</f>
        <v>100</v>
      </c>
      <c r="K34" s="9" cm="1">
        <f t="array" ref="K34">J34*H34</f>
        <v>15</v>
      </c>
      <c r="L34" s="9">
        <v>5</v>
      </c>
      <c r="M34" t="s" s="5">
        <v>57</v>
      </c>
      <c r="N34" s="6">
        <v>250</v>
      </c>
      <c r="O34" s="10"/>
      <c r="P34" s="9">
        <v>0.1</v>
      </c>
      <c r="Q34" s="9" cm="1">
        <f t="array" ref="Q34">P34*20</f>
        <v>2</v>
      </c>
      <c r="R34" s="9">
        <v>0.5</v>
      </c>
      <c r="S34" s="9" cm="1">
        <f t="array" ref="S34">R34*20</f>
        <v>10</v>
      </c>
      <c r="T34" s="9">
        <v>0.1</v>
      </c>
      <c r="U34" s="9" cm="1">
        <f t="array" ref="U34">T34*20</f>
        <v>2</v>
      </c>
      <c r="V34" s="9" cm="1">
        <f t="array" ref="V34">T34+R34+P34+L34+K34+F34</f>
        <v>26.7</v>
      </c>
      <c r="W34" s="9" cm="1">
        <f t="array" ref="W34">U34+S34+Q34+K34</f>
        <v>29</v>
      </c>
      <c r="X34" s="9" cm="1">
        <f t="array" ref="X34">W34+L34+F34</f>
        <v>40</v>
      </c>
      <c r="Y34" s="11" cm="1">
        <f t="array" ref="Y34">X34/60</f>
        <v>0.666666666666667</v>
      </c>
      <c r="Z34" t="s" s="5">
        <v>57</v>
      </c>
      <c r="AA34" s="6">
        <v>250</v>
      </c>
    </row>
    <row r="35" ht="20.45" customHeight="1">
      <c r="A35" t="s" s="5">
        <v>44</v>
      </c>
      <c r="B35" t="s" s="5">
        <v>58</v>
      </c>
      <c r="C35" s="6">
        <v>250</v>
      </c>
      <c r="D35" s="7" cm="1">
        <f t="array" ref="D35">20*C35</f>
        <v>5000</v>
      </c>
      <c r="E35" s="8">
        <v>1</v>
      </c>
      <c r="F35" s="9">
        <v>6</v>
      </c>
      <c r="G35" s="9">
        <v>5</v>
      </c>
      <c r="H35" s="9">
        <v>0.15</v>
      </c>
      <c r="I35" s="9" cm="1">
        <f t="array" ref="I35">G35*H35</f>
        <v>0.75</v>
      </c>
      <c r="J35" s="9" cm="1">
        <f t="array" ref="J35">D35/C35*G35</f>
        <v>100</v>
      </c>
      <c r="K35" s="9" cm="1">
        <f t="array" ref="K35">J35*H35</f>
        <v>15</v>
      </c>
      <c r="L35" s="9">
        <v>5</v>
      </c>
      <c r="M35" t="s" s="5">
        <v>58</v>
      </c>
      <c r="N35" s="6">
        <v>250</v>
      </c>
      <c r="O35" s="10"/>
      <c r="P35" s="9">
        <v>0.1</v>
      </c>
      <c r="Q35" s="9" cm="1">
        <f t="array" ref="Q35">P35*20</f>
        <v>2</v>
      </c>
      <c r="R35" s="9">
        <v>0.5</v>
      </c>
      <c r="S35" s="9" cm="1">
        <f t="array" ref="S35">R35*20</f>
        <v>10</v>
      </c>
      <c r="T35" s="9">
        <v>0.1</v>
      </c>
      <c r="U35" s="9" cm="1">
        <f t="array" ref="U35">T35*20</f>
        <v>2</v>
      </c>
      <c r="V35" s="9" cm="1">
        <f t="array" ref="V35">T35+R35+P35+L35+K35+F35</f>
        <v>26.7</v>
      </c>
      <c r="W35" s="9" cm="1">
        <f t="array" ref="W35">U35+S35+Q35+K35</f>
        <v>29</v>
      </c>
      <c r="X35" s="9" cm="1">
        <f t="array" ref="X35">W35+L35+F35</f>
        <v>40</v>
      </c>
      <c r="Y35" s="11" cm="1">
        <f t="array" ref="Y35">X35/60</f>
        <v>0.666666666666667</v>
      </c>
      <c r="Z35" t="s" s="5">
        <v>58</v>
      </c>
      <c r="AA35" s="6">
        <v>250</v>
      </c>
    </row>
    <row r="36" ht="20.45" customHeight="1">
      <c r="A36" t="s" s="5">
        <v>29</v>
      </c>
      <c r="B36" t="s" s="5">
        <v>59</v>
      </c>
      <c r="C36" s="6">
        <v>250</v>
      </c>
      <c r="D36" s="7" cm="1">
        <f t="array" ref="D36">20*C36</f>
        <v>5000</v>
      </c>
      <c r="E36" s="8">
        <v>1</v>
      </c>
      <c r="F36" s="9">
        <v>6</v>
      </c>
      <c r="G36" s="9">
        <v>4</v>
      </c>
      <c r="H36" s="9">
        <v>0.1</v>
      </c>
      <c r="I36" s="9" cm="1">
        <f t="array" ref="I36">G36*H36</f>
        <v>0.4</v>
      </c>
      <c r="J36" s="9" cm="1">
        <f t="array" ref="J36">D36/C36*G36</f>
        <v>80</v>
      </c>
      <c r="K36" s="9" cm="1">
        <f t="array" ref="K36">J36*H36</f>
        <v>8</v>
      </c>
      <c r="L36" s="9">
        <v>5</v>
      </c>
      <c r="M36" t="s" s="5">
        <v>59</v>
      </c>
      <c r="N36" s="6">
        <v>250</v>
      </c>
      <c r="O36" s="10"/>
      <c r="P36" s="9">
        <v>0.15</v>
      </c>
      <c r="Q36" s="9" cm="1">
        <f t="array" ref="Q36">P36*20</f>
        <v>3</v>
      </c>
      <c r="R36" s="9">
        <v>0.5</v>
      </c>
      <c r="S36" s="9" cm="1">
        <f t="array" ref="S36">R36*20</f>
        <v>10</v>
      </c>
      <c r="T36" s="9">
        <v>0.1</v>
      </c>
      <c r="U36" s="9" cm="1">
        <f t="array" ref="U36">T36*20</f>
        <v>2</v>
      </c>
      <c r="V36" s="9" cm="1">
        <f t="array" ref="V36">T36+R36+P36+L36+K36+F36</f>
        <v>19.75</v>
      </c>
      <c r="W36" s="9" cm="1">
        <f t="array" ref="W36">U36+S36+Q36+K36</f>
        <v>23</v>
      </c>
      <c r="X36" s="9" cm="1">
        <f t="array" ref="X36">W36+L36+F36</f>
        <v>34</v>
      </c>
      <c r="Y36" s="11" cm="1">
        <f t="array" ref="Y36">X36/60</f>
        <v>0.566666666666667</v>
      </c>
      <c r="Z36" t="s" s="5">
        <v>59</v>
      </c>
      <c r="AA36" s="6">
        <v>250</v>
      </c>
    </row>
    <row r="37" ht="20.45" customHeight="1">
      <c r="A37" t="s" s="5">
        <v>29</v>
      </c>
      <c r="B37" t="s" s="5">
        <v>60</v>
      </c>
      <c r="C37" s="6">
        <v>250</v>
      </c>
      <c r="D37" s="7" cm="1">
        <f t="array" ref="D37">20*C37</f>
        <v>5000</v>
      </c>
      <c r="E37" s="8">
        <v>1</v>
      </c>
      <c r="F37" s="9">
        <v>5</v>
      </c>
      <c r="G37" s="9">
        <v>4</v>
      </c>
      <c r="H37" s="9">
        <v>0.1</v>
      </c>
      <c r="I37" s="9" cm="1">
        <f t="array" ref="I37">G37*H37</f>
        <v>0.4</v>
      </c>
      <c r="J37" s="9" cm="1">
        <f t="array" ref="J37">D37/C37*G37</f>
        <v>80</v>
      </c>
      <c r="K37" s="9" cm="1">
        <f t="array" ref="K37">J37*H37</f>
        <v>8</v>
      </c>
      <c r="L37" s="9">
        <v>5</v>
      </c>
      <c r="M37" t="s" s="5">
        <v>60</v>
      </c>
      <c r="N37" s="6">
        <v>250</v>
      </c>
      <c r="O37" s="10"/>
      <c r="P37" s="9">
        <v>0.1</v>
      </c>
      <c r="Q37" s="9" cm="1">
        <f t="array" ref="Q37">P37*20</f>
        <v>2</v>
      </c>
      <c r="R37" s="9">
        <v>0.5</v>
      </c>
      <c r="S37" s="9" cm="1">
        <f t="array" ref="S37">R37*20</f>
        <v>10</v>
      </c>
      <c r="T37" s="9">
        <v>0.1</v>
      </c>
      <c r="U37" s="9" cm="1">
        <f t="array" ref="U37">T37*20</f>
        <v>2</v>
      </c>
      <c r="V37" s="9" cm="1">
        <f t="array" ref="V37">T37+R37+P37+L37+K37+F37</f>
        <v>18.7</v>
      </c>
      <c r="W37" s="9" cm="1">
        <f t="array" ref="W37">U37+S37+Q37+K37</f>
        <v>22</v>
      </c>
      <c r="X37" s="9" cm="1">
        <f t="array" ref="X37">W37+L37+F37</f>
        <v>32</v>
      </c>
      <c r="Y37" s="11" cm="1">
        <f t="array" ref="Y37">X37/60</f>
        <v>0.533333333333333</v>
      </c>
      <c r="Z37" t="s" s="5">
        <v>60</v>
      </c>
      <c r="AA37" s="6">
        <v>250</v>
      </c>
    </row>
    <row r="38" ht="20.45" customHeight="1">
      <c r="A38" t="s" s="5">
        <v>29</v>
      </c>
      <c r="B38" t="s" s="5">
        <v>61</v>
      </c>
      <c r="C38" s="6">
        <v>250</v>
      </c>
      <c r="D38" s="7" cm="1">
        <f t="array" ref="D38">20*C38</f>
        <v>5000</v>
      </c>
      <c r="E38" s="8">
        <v>1</v>
      </c>
      <c r="F38" s="9">
        <v>5</v>
      </c>
      <c r="G38" s="9">
        <v>3</v>
      </c>
      <c r="H38" s="9">
        <v>0.15</v>
      </c>
      <c r="I38" s="9" cm="1">
        <f t="array" ref="I38">G38*H38</f>
        <v>0.45</v>
      </c>
      <c r="J38" s="9" cm="1">
        <f t="array" ref="J38">D38/C38*G38</f>
        <v>60</v>
      </c>
      <c r="K38" s="9" cm="1">
        <f t="array" ref="K38">J38*H38</f>
        <v>9</v>
      </c>
      <c r="L38" s="9">
        <v>5</v>
      </c>
      <c r="M38" t="s" s="5">
        <v>61</v>
      </c>
      <c r="N38" s="6">
        <v>250</v>
      </c>
      <c r="O38" s="10"/>
      <c r="P38" s="9">
        <v>0.05</v>
      </c>
      <c r="Q38" s="9" cm="1">
        <f t="array" ref="Q38">P38*20</f>
        <v>1</v>
      </c>
      <c r="R38" s="9">
        <v>0.5</v>
      </c>
      <c r="S38" s="9" cm="1">
        <f t="array" ref="S38">R38*20</f>
        <v>10</v>
      </c>
      <c r="T38" s="9">
        <v>0.1</v>
      </c>
      <c r="U38" s="9" cm="1">
        <f t="array" ref="U38">T38*20</f>
        <v>2</v>
      </c>
      <c r="V38" s="9" cm="1">
        <f t="array" ref="V38">T38+R38+P38+L38+K38+F38</f>
        <v>19.65</v>
      </c>
      <c r="W38" s="9" cm="1">
        <f t="array" ref="W38">U38+S38+Q38+K38</f>
        <v>22</v>
      </c>
      <c r="X38" s="9" cm="1">
        <f t="array" ref="X38">W38+L38+F38</f>
        <v>32</v>
      </c>
      <c r="Y38" s="11" cm="1">
        <f t="array" ref="Y38">X38/60</f>
        <v>0.533333333333333</v>
      </c>
      <c r="Z38" t="s" s="5">
        <v>61</v>
      </c>
      <c r="AA38" s="6">
        <v>250</v>
      </c>
    </row>
    <row r="39" ht="20.45" customHeight="1">
      <c r="A39" t="s" s="5">
        <v>29</v>
      </c>
      <c r="B39" t="s" s="5">
        <v>62</v>
      </c>
      <c r="C39" s="6">
        <v>250</v>
      </c>
      <c r="D39" s="7" cm="1">
        <f t="array" ref="D39">20*C39</f>
        <v>5000</v>
      </c>
      <c r="E39" s="8">
        <v>1</v>
      </c>
      <c r="F39" s="9">
        <v>5</v>
      </c>
      <c r="G39" s="9">
        <v>7</v>
      </c>
      <c r="H39" s="9">
        <v>0.1</v>
      </c>
      <c r="I39" s="9" cm="1">
        <f t="array" ref="I39">G39*H39</f>
        <v>0.7</v>
      </c>
      <c r="J39" s="9" cm="1">
        <f t="array" ref="J39">D39/C39*G39</f>
        <v>140</v>
      </c>
      <c r="K39" s="9" cm="1">
        <f t="array" ref="K39">J39*H39</f>
        <v>14</v>
      </c>
      <c r="L39" s="9">
        <v>5</v>
      </c>
      <c r="M39" t="s" s="5">
        <v>62</v>
      </c>
      <c r="N39" s="6">
        <v>250</v>
      </c>
      <c r="O39" s="10"/>
      <c r="P39" s="9">
        <v>0.1</v>
      </c>
      <c r="Q39" s="9" cm="1">
        <f t="array" ref="Q39">P39*20</f>
        <v>2</v>
      </c>
      <c r="R39" s="9">
        <v>0.5</v>
      </c>
      <c r="S39" s="9" cm="1">
        <f t="array" ref="S39">R39*20</f>
        <v>10</v>
      </c>
      <c r="T39" s="9">
        <v>0.1</v>
      </c>
      <c r="U39" s="9" cm="1">
        <f t="array" ref="U39">T39*20</f>
        <v>2</v>
      </c>
      <c r="V39" s="9" cm="1">
        <f t="array" ref="V39">T39+R39+P39+L39+K39+F39</f>
        <v>24.7</v>
      </c>
      <c r="W39" s="9" cm="1">
        <f t="array" ref="W39">U39+S39+Q39+K39</f>
        <v>28</v>
      </c>
      <c r="X39" s="9" cm="1">
        <f t="array" ref="X39">W39+L39+F39</f>
        <v>38</v>
      </c>
      <c r="Y39" s="11" cm="1">
        <f t="array" ref="Y39">X39/60</f>
        <v>0.633333333333333</v>
      </c>
      <c r="Z39" t="s" s="5">
        <v>62</v>
      </c>
      <c r="AA39" s="6">
        <v>250</v>
      </c>
    </row>
    <row r="40" ht="20.45" customHeight="1">
      <c r="A40" t="s" s="5">
        <v>29</v>
      </c>
      <c r="B40" t="s" s="5">
        <v>63</v>
      </c>
      <c r="C40" s="6">
        <v>250</v>
      </c>
      <c r="D40" s="7" cm="1">
        <f t="array" ref="D40">20*C40</f>
        <v>5000</v>
      </c>
      <c r="E40" s="8">
        <v>1</v>
      </c>
      <c r="F40" s="9">
        <v>5</v>
      </c>
      <c r="G40" s="9">
        <v>1</v>
      </c>
      <c r="H40" s="9">
        <v>0.2</v>
      </c>
      <c r="I40" s="9" cm="1">
        <f t="array" ref="I40">G40*H40</f>
        <v>0.2</v>
      </c>
      <c r="J40" s="9" cm="1">
        <f t="array" ref="J40">D40/C40*G40</f>
        <v>20</v>
      </c>
      <c r="K40" s="9" cm="1">
        <f t="array" ref="K40">J40*H40</f>
        <v>4</v>
      </c>
      <c r="L40" s="9">
        <v>5</v>
      </c>
      <c r="M40" t="s" s="5">
        <v>63</v>
      </c>
      <c r="N40" s="6">
        <v>250</v>
      </c>
      <c r="O40" s="10"/>
      <c r="P40" s="9">
        <v>0.1</v>
      </c>
      <c r="Q40" s="9" cm="1">
        <f t="array" ref="Q40">P40*20</f>
        <v>2</v>
      </c>
      <c r="R40" s="9">
        <v>0.5</v>
      </c>
      <c r="S40" s="9" cm="1">
        <f t="array" ref="S40">R40*20</f>
        <v>10</v>
      </c>
      <c r="T40" s="9">
        <v>0.1</v>
      </c>
      <c r="U40" s="9" cm="1">
        <f t="array" ref="U40">T40*20</f>
        <v>2</v>
      </c>
      <c r="V40" s="9" cm="1">
        <f t="array" ref="V40">T40+R40+P40+L40+K40+F40</f>
        <v>14.7</v>
      </c>
      <c r="W40" s="9" cm="1">
        <f t="array" ref="W40">U40+S40+Q40+K40</f>
        <v>18</v>
      </c>
      <c r="X40" s="9" cm="1">
        <f t="array" ref="X40">W40+L40+F40</f>
        <v>28</v>
      </c>
      <c r="Y40" s="11" cm="1">
        <f t="array" ref="Y40">X40/60</f>
        <v>0.466666666666667</v>
      </c>
      <c r="Z40" t="s" s="5">
        <v>63</v>
      </c>
      <c r="AA40" s="6">
        <v>250</v>
      </c>
    </row>
    <row r="41" ht="20.45" customHeight="1">
      <c r="A41" t="s" s="5">
        <v>29</v>
      </c>
      <c r="B41" t="s" s="5">
        <v>64</v>
      </c>
      <c r="C41" s="6">
        <v>250</v>
      </c>
      <c r="D41" s="7" cm="1">
        <f t="array" ref="D41">20*C41</f>
        <v>5000</v>
      </c>
      <c r="E41" s="8">
        <v>1</v>
      </c>
      <c r="F41" s="9">
        <v>5</v>
      </c>
      <c r="G41" s="9">
        <v>20</v>
      </c>
      <c r="H41" s="9">
        <v>0.05</v>
      </c>
      <c r="I41" s="9" cm="1">
        <f t="array" ref="I41">G41*H41</f>
        <v>1</v>
      </c>
      <c r="J41" s="9" cm="1">
        <f t="array" ref="J41">D41/C41*G41</f>
        <v>400</v>
      </c>
      <c r="K41" s="9" cm="1">
        <f t="array" ref="K41">J41*H41</f>
        <v>20</v>
      </c>
      <c r="L41" s="9">
        <v>15</v>
      </c>
      <c r="M41" t="s" s="5">
        <v>64</v>
      </c>
      <c r="N41" s="6">
        <v>250</v>
      </c>
      <c r="O41" s="10"/>
      <c r="P41" s="9">
        <v>0.15</v>
      </c>
      <c r="Q41" s="9" cm="1">
        <f t="array" ref="Q41">P41*20</f>
        <v>3</v>
      </c>
      <c r="R41" s="9">
        <v>0.5</v>
      </c>
      <c r="S41" s="9" cm="1">
        <f t="array" ref="S41">R41*20</f>
        <v>10</v>
      </c>
      <c r="T41" s="9">
        <v>0.1</v>
      </c>
      <c r="U41" s="9" cm="1">
        <f t="array" ref="U41">T41*20</f>
        <v>2</v>
      </c>
      <c r="V41" s="9" cm="1">
        <f t="array" ref="V41">T41+R41+P41+L41+K41+F41</f>
        <v>40.75</v>
      </c>
      <c r="W41" s="9" cm="1">
        <f t="array" ref="W41">U41+S41+Q41+K41</f>
        <v>35</v>
      </c>
      <c r="X41" s="9" cm="1">
        <f t="array" ref="X41">W41+L41+F41</f>
        <v>55</v>
      </c>
      <c r="Y41" s="11" cm="1">
        <f t="array" ref="Y41">X41/60</f>
        <v>0.916666666666667</v>
      </c>
      <c r="Z41" t="s" s="5">
        <v>64</v>
      </c>
      <c r="AA41" s="6">
        <v>250</v>
      </c>
    </row>
    <row r="42" ht="20.45" customHeight="1">
      <c r="A42" t="s" s="5">
        <v>29</v>
      </c>
      <c r="B42" t="s" s="5">
        <v>65</v>
      </c>
      <c r="C42" s="6">
        <v>250</v>
      </c>
      <c r="D42" s="7" cm="1">
        <f t="array" ref="D42">20*C42</f>
        <v>5000</v>
      </c>
      <c r="E42" s="8">
        <v>1</v>
      </c>
      <c r="F42" s="9">
        <v>5</v>
      </c>
      <c r="G42" s="9">
        <v>8</v>
      </c>
      <c r="H42" s="9">
        <v>0.1</v>
      </c>
      <c r="I42" s="9" cm="1">
        <f t="array" ref="I42">G42*H42</f>
        <v>0.8</v>
      </c>
      <c r="J42" s="9" cm="1">
        <f t="array" ref="J42">D42/C42*G42</f>
        <v>160</v>
      </c>
      <c r="K42" s="9" cm="1">
        <f t="array" ref="K42">J42*H42</f>
        <v>16</v>
      </c>
      <c r="L42" s="9">
        <v>5</v>
      </c>
      <c r="M42" t="s" s="5">
        <v>65</v>
      </c>
      <c r="N42" s="6">
        <v>250</v>
      </c>
      <c r="O42" s="10"/>
      <c r="P42" s="9">
        <v>0.15</v>
      </c>
      <c r="Q42" s="9" cm="1">
        <f t="array" ref="Q42">P42*20</f>
        <v>3</v>
      </c>
      <c r="R42" s="9">
        <v>0.5</v>
      </c>
      <c r="S42" s="9" cm="1">
        <f t="array" ref="S42">R42*20</f>
        <v>10</v>
      </c>
      <c r="T42" s="9">
        <v>0.1</v>
      </c>
      <c r="U42" s="9" cm="1">
        <f t="array" ref="U42">T42*20</f>
        <v>2</v>
      </c>
      <c r="V42" s="9" cm="1">
        <f t="array" ref="V42">T42+R42+P42+L42+K42+F42</f>
        <v>26.75</v>
      </c>
      <c r="W42" s="9" cm="1">
        <f t="array" ref="W42">U42+S42+Q42+K42</f>
        <v>31</v>
      </c>
      <c r="X42" s="9" cm="1">
        <f t="array" ref="X42">W42+L42+F42</f>
        <v>41</v>
      </c>
      <c r="Y42" s="11" cm="1">
        <f t="array" ref="Y42">X42/60</f>
        <v>0.683333333333333</v>
      </c>
      <c r="Z42" t="s" s="5">
        <v>65</v>
      </c>
      <c r="AA42" s="6">
        <v>250</v>
      </c>
    </row>
    <row r="43" ht="20.45" customHeight="1">
      <c r="A43" t="s" s="5">
        <v>29</v>
      </c>
      <c r="B43" t="s" s="5">
        <v>66</v>
      </c>
      <c r="C43" s="6">
        <v>250</v>
      </c>
      <c r="D43" s="7" cm="1">
        <f t="array" ref="D43">20*C43</f>
        <v>5000</v>
      </c>
      <c r="E43" s="8">
        <v>1</v>
      </c>
      <c r="F43" s="9">
        <v>5</v>
      </c>
      <c r="G43" s="9">
        <v>8</v>
      </c>
      <c r="H43" s="9">
        <v>0.1</v>
      </c>
      <c r="I43" s="9" cm="1">
        <f t="array" ref="I43">G43*H43</f>
        <v>0.8</v>
      </c>
      <c r="J43" s="9" cm="1">
        <f t="array" ref="J43">D43/C43*G43</f>
        <v>160</v>
      </c>
      <c r="K43" s="9" cm="1">
        <f t="array" ref="K43">J43*H43</f>
        <v>16</v>
      </c>
      <c r="L43" s="9">
        <v>5</v>
      </c>
      <c r="M43" t="s" s="5">
        <v>66</v>
      </c>
      <c r="N43" s="6">
        <v>250</v>
      </c>
      <c r="O43" s="10"/>
      <c r="P43" s="9">
        <v>0.15</v>
      </c>
      <c r="Q43" s="9" cm="1">
        <f t="array" ref="Q43">P43*20</f>
        <v>3</v>
      </c>
      <c r="R43" s="9">
        <v>0.5</v>
      </c>
      <c r="S43" s="9" cm="1">
        <f t="array" ref="S43">R43*20</f>
        <v>10</v>
      </c>
      <c r="T43" s="9">
        <v>0.1</v>
      </c>
      <c r="U43" s="9" cm="1">
        <f t="array" ref="U43">T43*20</f>
        <v>2</v>
      </c>
      <c r="V43" s="9" cm="1">
        <f t="array" ref="V43">T43+R43+P43+L43+K43+F43</f>
        <v>26.75</v>
      </c>
      <c r="W43" s="9" cm="1">
        <f t="array" ref="W43">U43+S43+Q43+K43</f>
        <v>31</v>
      </c>
      <c r="X43" s="9" cm="1">
        <f t="array" ref="X43">W43+L43+F43</f>
        <v>41</v>
      </c>
      <c r="Y43" s="11" cm="1">
        <f t="array" ref="Y43">X43/60</f>
        <v>0.683333333333333</v>
      </c>
      <c r="Z43" t="s" s="5">
        <v>66</v>
      </c>
      <c r="AA43" s="6">
        <v>250</v>
      </c>
    </row>
    <row r="44" ht="20.45" customHeight="1">
      <c r="A44" t="s" s="5">
        <v>29</v>
      </c>
      <c r="B44" t="s" s="5">
        <v>67</v>
      </c>
      <c r="C44" s="6">
        <v>250</v>
      </c>
      <c r="D44" s="7" cm="1">
        <f t="array" ref="D44">20*C44</f>
        <v>5000</v>
      </c>
      <c r="E44" s="8">
        <v>1</v>
      </c>
      <c r="F44" s="9">
        <v>5</v>
      </c>
      <c r="G44" s="9">
        <v>10</v>
      </c>
      <c r="H44" s="9">
        <v>0.1</v>
      </c>
      <c r="I44" s="9" cm="1">
        <f t="array" ref="I44">G44*H44</f>
        <v>1</v>
      </c>
      <c r="J44" s="9" cm="1">
        <f t="array" ref="J44">D44/C44*G44</f>
        <v>200</v>
      </c>
      <c r="K44" s="9" cm="1">
        <f t="array" ref="K44">J44*H44</f>
        <v>20</v>
      </c>
      <c r="L44" s="9">
        <v>5</v>
      </c>
      <c r="M44" t="s" s="5">
        <v>67</v>
      </c>
      <c r="N44" s="6">
        <v>250</v>
      </c>
      <c r="O44" s="10"/>
      <c r="P44" s="9">
        <v>0.15</v>
      </c>
      <c r="Q44" s="9" cm="1">
        <f t="array" ref="Q44">P44*20</f>
        <v>3</v>
      </c>
      <c r="R44" s="9">
        <v>0.5</v>
      </c>
      <c r="S44" s="9" cm="1">
        <f t="array" ref="S44">R44*20</f>
        <v>10</v>
      </c>
      <c r="T44" s="9">
        <v>0.1</v>
      </c>
      <c r="U44" s="9" cm="1">
        <f t="array" ref="U44">T44*20</f>
        <v>2</v>
      </c>
      <c r="V44" s="9" cm="1">
        <f t="array" ref="V44">T44+R44+P44+L44+K44+F44</f>
        <v>30.75</v>
      </c>
      <c r="W44" s="9" cm="1">
        <f t="array" ref="W44">U44+S44+Q44+K44</f>
        <v>35</v>
      </c>
      <c r="X44" s="9" cm="1">
        <f t="array" ref="X44">W44+L44+F44</f>
        <v>45</v>
      </c>
      <c r="Y44" s="11" cm="1">
        <f t="array" ref="Y44">X44/60</f>
        <v>0.75</v>
      </c>
      <c r="Z44" t="s" s="5">
        <v>67</v>
      </c>
      <c r="AA44" s="6">
        <v>250</v>
      </c>
    </row>
    <row r="45" ht="32.45" customHeight="1">
      <c r="A45" t="s" s="5">
        <v>29</v>
      </c>
      <c r="B45" t="s" s="5">
        <v>68</v>
      </c>
      <c r="C45" s="6">
        <v>250</v>
      </c>
      <c r="D45" s="7" cm="1">
        <f t="array" ref="D45">20*C45</f>
        <v>5000</v>
      </c>
      <c r="E45" s="8">
        <v>1</v>
      </c>
      <c r="F45" s="9">
        <v>5</v>
      </c>
      <c r="G45" s="9">
        <v>10</v>
      </c>
      <c r="H45" s="9">
        <v>0.1</v>
      </c>
      <c r="I45" s="9" cm="1">
        <f t="array" ref="I45">G45*H45</f>
        <v>1</v>
      </c>
      <c r="J45" s="9" cm="1">
        <f t="array" ref="J45">D45/C45*G45</f>
        <v>200</v>
      </c>
      <c r="K45" s="9" cm="1">
        <f t="array" ref="K45">J45*H45</f>
        <v>20</v>
      </c>
      <c r="L45" s="9">
        <v>5</v>
      </c>
      <c r="M45" t="s" s="5">
        <v>68</v>
      </c>
      <c r="N45" s="6">
        <v>250</v>
      </c>
      <c r="O45" s="10"/>
      <c r="P45" s="9">
        <v>0.15</v>
      </c>
      <c r="Q45" s="9" cm="1">
        <f t="array" ref="Q45">P45*20</f>
        <v>3</v>
      </c>
      <c r="R45" s="9">
        <v>0.5</v>
      </c>
      <c r="S45" s="9" cm="1">
        <f t="array" ref="S45">R45*20</f>
        <v>10</v>
      </c>
      <c r="T45" s="9">
        <v>0.1</v>
      </c>
      <c r="U45" s="9" cm="1">
        <f t="array" ref="U45">T45*20</f>
        <v>2</v>
      </c>
      <c r="V45" s="9" cm="1">
        <f t="array" ref="V45">T45+R45+P45+L45+K45+F45</f>
        <v>30.75</v>
      </c>
      <c r="W45" s="9" cm="1">
        <f t="array" ref="W45">U45+S45+Q45+K45</f>
        <v>35</v>
      </c>
      <c r="X45" s="9" cm="1">
        <f t="array" ref="X45">W45+L45+F45</f>
        <v>45</v>
      </c>
      <c r="Y45" s="11" cm="1">
        <f t="array" ref="Y45">X45/60</f>
        <v>0.75</v>
      </c>
      <c r="Z45" t="s" s="5">
        <v>68</v>
      </c>
      <c r="AA45" s="6">
        <v>250</v>
      </c>
    </row>
    <row r="46" ht="20.45" customHeight="1">
      <c r="A46" t="s" s="5">
        <v>29</v>
      </c>
      <c r="B46" t="s" s="5">
        <v>69</v>
      </c>
      <c r="C46" s="6">
        <v>250</v>
      </c>
      <c r="D46" s="7" cm="1">
        <f t="array" ref="D46">20*C46</f>
        <v>5000</v>
      </c>
      <c r="E46" s="8">
        <v>1</v>
      </c>
      <c r="F46" s="9">
        <v>5</v>
      </c>
      <c r="G46" s="9">
        <v>10</v>
      </c>
      <c r="H46" s="9">
        <v>0.1</v>
      </c>
      <c r="I46" s="9" cm="1">
        <f t="array" ref="I46">G46*H46</f>
        <v>1</v>
      </c>
      <c r="J46" s="9" cm="1">
        <f t="array" ref="J46">D46/C46*G46</f>
        <v>200</v>
      </c>
      <c r="K46" s="9" cm="1">
        <f t="array" ref="K46">J46*H46</f>
        <v>20</v>
      </c>
      <c r="L46" s="9">
        <v>5</v>
      </c>
      <c r="M46" t="s" s="5">
        <v>69</v>
      </c>
      <c r="N46" s="6">
        <v>250</v>
      </c>
      <c r="O46" s="10"/>
      <c r="P46" s="9">
        <v>0.15</v>
      </c>
      <c r="Q46" s="9" cm="1">
        <f t="array" ref="Q46">P46*20</f>
        <v>3</v>
      </c>
      <c r="R46" s="9">
        <v>0.5</v>
      </c>
      <c r="S46" s="9" cm="1">
        <f t="array" ref="S46">R46*20</f>
        <v>10</v>
      </c>
      <c r="T46" s="9">
        <v>0.1</v>
      </c>
      <c r="U46" s="9" cm="1">
        <f t="array" ref="U46">T46*20</f>
        <v>2</v>
      </c>
      <c r="V46" s="9" cm="1">
        <f t="array" ref="V46">T46+R46+P46+L46+K46+F46</f>
        <v>30.75</v>
      </c>
      <c r="W46" s="9" cm="1">
        <f t="array" ref="W46">U46+S46+Q46+K46</f>
        <v>35</v>
      </c>
      <c r="X46" s="9" cm="1">
        <f t="array" ref="X46">W46+L46+F46</f>
        <v>45</v>
      </c>
      <c r="Y46" s="11" cm="1">
        <f t="array" ref="Y46">X46/60</f>
        <v>0.75</v>
      </c>
      <c r="Z46" t="s" s="5">
        <v>69</v>
      </c>
      <c r="AA46" s="6">
        <v>250</v>
      </c>
    </row>
    <row r="47" ht="20.45" customHeight="1">
      <c r="A47" t="s" s="5">
        <v>29</v>
      </c>
      <c r="B47" t="s" s="5">
        <v>70</v>
      </c>
      <c r="C47" s="6">
        <v>250</v>
      </c>
      <c r="D47" s="7" cm="1">
        <f t="array" ref="D47">20*C47</f>
        <v>5000</v>
      </c>
      <c r="E47" s="8">
        <v>1</v>
      </c>
      <c r="F47" s="9">
        <v>5</v>
      </c>
      <c r="G47" s="9">
        <v>10</v>
      </c>
      <c r="H47" s="9">
        <v>0.1</v>
      </c>
      <c r="I47" s="9" cm="1">
        <f t="array" ref="I47">G47*H47</f>
        <v>1</v>
      </c>
      <c r="J47" s="9" cm="1">
        <f t="array" ref="J47">D47/C47*G47</f>
        <v>200</v>
      </c>
      <c r="K47" s="9" cm="1">
        <f t="array" ref="K47">J47*H47</f>
        <v>20</v>
      </c>
      <c r="L47" s="9">
        <v>5</v>
      </c>
      <c r="M47" t="s" s="5">
        <v>70</v>
      </c>
      <c r="N47" s="6">
        <v>250</v>
      </c>
      <c r="O47" s="10"/>
      <c r="P47" s="9">
        <v>0.15</v>
      </c>
      <c r="Q47" s="9" cm="1">
        <f t="array" ref="Q47">P47*20</f>
        <v>3</v>
      </c>
      <c r="R47" s="9">
        <v>0.5</v>
      </c>
      <c r="S47" s="9" cm="1">
        <f t="array" ref="S47">R47*20</f>
        <v>10</v>
      </c>
      <c r="T47" s="9">
        <v>0.1</v>
      </c>
      <c r="U47" s="9" cm="1">
        <f t="array" ref="U47">T47*20</f>
        <v>2</v>
      </c>
      <c r="V47" s="9" cm="1">
        <f t="array" ref="V47">T47+R47+P47+L47+K47+F47</f>
        <v>30.75</v>
      </c>
      <c r="W47" s="9" cm="1">
        <f t="array" ref="W47">U47+S47+Q47+K47</f>
        <v>35</v>
      </c>
      <c r="X47" s="9" cm="1">
        <f t="array" ref="X47">W47+L47+F47</f>
        <v>45</v>
      </c>
      <c r="Y47" s="11" cm="1">
        <f t="array" ref="Y47">X47/60</f>
        <v>0.75</v>
      </c>
      <c r="Z47" t="s" s="5">
        <v>70</v>
      </c>
      <c r="AA47" s="6">
        <v>250</v>
      </c>
    </row>
    <row r="48" ht="20.45" customHeight="1">
      <c r="A48" t="s" s="5">
        <v>29</v>
      </c>
      <c r="B48" t="s" s="5">
        <v>71</v>
      </c>
      <c r="C48" s="6">
        <v>250</v>
      </c>
      <c r="D48" s="7" cm="1">
        <f t="array" ref="D48">20*C48</f>
        <v>5000</v>
      </c>
      <c r="E48" s="8">
        <v>1</v>
      </c>
      <c r="F48" s="9">
        <v>5</v>
      </c>
      <c r="G48" s="9">
        <v>10</v>
      </c>
      <c r="H48" s="9">
        <v>0.1</v>
      </c>
      <c r="I48" s="9" cm="1">
        <f t="array" ref="I48">G48*H48</f>
        <v>1</v>
      </c>
      <c r="J48" s="9" cm="1">
        <f t="array" ref="J48">D48/C48*G48</f>
        <v>200</v>
      </c>
      <c r="K48" s="9" cm="1">
        <f t="array" ref="K48">J48*H48</f>
        <v>20</v>
      </c>
      <c r="L48" s="9">
        <v>5</v>
      </c>
      <c r="M48" t="s" s="5">
        <v>71</v>
      </c>
      <c r="N48" s="6">
        <v>250</v>
      </c>
      <c r="O48" s="10"/>
      <c r="P48" s="9">
        <v>0.15</v>
      </c>
      <c r="Q48" s="9" cm="1">
        <f t="array" ref="Q48">P48*20</f>
        <v>3</v>
      </c>
      <c r="R48" s="9">
        <v>0.5</v>
      </c>
      <c r="S48" s="9" cm="1">
        <f t="array" ref="S48">R48*20</f>
        <v>10</v>
      </c>
      <c r="T48" s="9">
        <v>0.1</v>
      </c>
      <c r="U48" s="9" cm="1">
        <f t="array" ref="U48">T48*20</f>
        <v>2</v>
      </c>
      <c r="V48" s="9" cm="1">
        <f t="array" ref="V48">T48+R48+P48+L48+K48+F48</f>
        <v>30.75</v>
      </c>
      <c r="W48" s="9" cm="1">
        <f t="array" ref="W48">U48+S48+Q48+K48</f>
        <v>35</v>
      </c>
      <c r="X48" s="9" cm="1">
        <f t="array" ref="X48">W48+L48+F48</f>
        <v>45</v>
      </c>
      <c r="Y48" s="11" cm="1">
        <f t="array" ref="Y48">X48/60</f>
        <v>0.75</v>
      </c>
      <c r="Z48" t="s" s="5">
        <v>71</v>
      </c>
      <c r="AA48" s="6">
        <v>250</v>
      </c>
    </row>
    <row r="49" ht="20.45" customHeight="1">
      <c r="A49" t="s" s="5">
        <v>29</v>
      </c>
      <c r="B49" t="s" s="5">
        <v>72</v>
      </c>
      <c r="C49" s="6">
        <v>250</v>
      </c>
      <c r="D49" s="7" cm="1">
        <f t="array" ref="D49">20*C49</f>
        <v>5000</v>
      </c>
      <c r="E49" s="8">
        <v>1</v>
      </c>
      <c r="F49" s="9">
        <v>5</v>
      </c>
      <c r="G49" s="9">
        <v>1</v>
      </c>
      <c r="H49" s="9">
        <v>0.2</v>
      </c>
      <c r="I49" s="9" cm="1">
        <f t="array" ref="I49">G49*H49</f>
        <v>0.2</v>
      </c>
      <c r="J49" s="9" cm="1">
        <f t="array" ref="J49">D49/C49*G49</f>
        <v>20</v>
      </c>
      <c r="K49" s="9" cm="1">
        <f t="array" ref="K49">J49*H49</f>
        <v>4</v>
      </c>
      <c r="L49" s="9">
        <v>5</v>
      </c>
      <c r="M49" t="s" s="5">
        <v>72</v>
      </c>
      <c r="N49" s="6">
        <v>250</v>
      </c>
      <c r="O49" s="10"/>
      <c r="P49" s="9">
        <v>0.05</v>
      </c>
      <c r="Q49" s="9" cm="1">
        <f t="array" ref="Q49">P49*20</f>
        <v>1</v>
      </c>
      <c r="R49" s="9">
        <v>0.5</v>
      </c>
      <c r="S49" s="9" cm="1">
        <f t="array" ref="S49">R49*20</f>
        <v>10</v>
      </c>
      <c r="T49" s="9">
        <v>0.1</v>
      </c>
      <c r="U49" s="9" cm="1">
        <f t="array" ref="U49">T49*20</f>
        <v>2</v>
      </c>
      <c r="V49" s="9" cm="1">
        <f t="array" ref="V49">T49+R49+P49+L49+K49+F49</f>
        <v>14.65</v>
      </c>
      <c r="W49" s="9" cm="1">
        <f t="array" ref="W49">U49+S49+Q49+K49</f>
        <v>17</v>
      </c>
      <c r="X49" s="9" cm="1">
        <f t="array" ref="X49">W49+L49+F49</f>
        <v>27</v>
      </c>
      <c r="Y49" s="11" cm="1">
        <f t="array" ref="Y49">X49/60</f>
        <v>0.45</v>
      </c>
      <c r="Z49" t="s" s="5">
        <v>72</v>
      </c>
      <c r="AA49" s="6">
        <v>250</v>
      </c>
    </row>
    <row r="50" ht="20.45" customHeight="1">
      <c r="A50" t="s" s="5">
        <v>29</v>
      </c>
      <c r="B50" t="s" s="5">
        <v>73</v>
      </c>
      <c r="C50" s="6">
        <v>50</v>
      </c>
      <c r="D50" s="7" cm="1">
        <f t="array" ref="D50">20*C50</f>
        <v>1000</v>
      </c>
      <c r="E50" s="8">
        <v>1</v>
      </c>
      <c r="F50" s="9">
        <v>2</v>
      </c>
      <c r="G50" s="9">
        <v>2</v>
      </c>
      <c r="H50" s="9">
        <v>0.2</v>
      </c>
      <c r="I50" s="9" cm="1">
        <f t="array" ref="I50">G50*H50</f>
        <v>0.4</v>
      </c>
      <c r="J50" s="9" cm="1">
        <f t="array" ref="J50">D50/C50*G50</f>
        <v>40</v>
      </c>
      <c r="K50" s="9" cm="1">
        <f t="array" ref="K50">J50*H50</f>
        <v>8</v>
      </c>
      <c r="L50" s="9">
        <v>5</v>
      </c>
      <c r="M50" t="s" s="5">
        <v>73</v>
      </c>
      <c r="N50" s="6">
        <v>250</v>
      </c>
      <c r="O50" s="10"/>
      <c r="P50" s="9">
        <v>5</v>
      </c>
      <c r="Q50" s="9" cm="1">
        <f t="array" ref="Q50">P50*20</f>
        <v>100</v>
      </c>
      <c r="R50" s="9">
        <v>0.5</v>
      </c>
      <c r="S50" s="9" cm="1">
        <f t="array" ref="S50">R50*20</f>
        <v>10</v>
      </c>
      <c r="T50" s="9">
        <v>0.1</v>
      </c>
      <c r="U50" s="9" cm="1">
        <f t="array" ref="U50">T50*20</f>
        <v>2</v>
      </c>
      <c r="V50" s="9" cm="1">
        <f t="array" ref="V50">T50+R50+P50+L50+K50+F50</f>
        <v>20.6</v>
      </c>
      <c r="W50" s="9" cm="1">
        <f t="array" ref="W50">U50+S50+Q50+K50</f>
        <v>120</v>
      </c>
      <c r="X50" s="9" cm="1">
        <f t="array" ref="X50">W50+L50+F50</f>
        <v>127</v>
      </c>
      <c r="Y50" s="11" cm="1">
        <f t="array" ref="Y50">X50/60</f>
        <v>2.11666666666667</v>
      </c>
      <c r="Z50" t="s" s="5">
        <v>73</v>
      </c>
      <c r="AA50" s="6">
        <v>250</v>
      </c>
    </row>
    <row r="51" ht="20.45" customHeight="1">
      <c r="A51" t="s" s="5">
        <v>44</v>
      </c>
      <c r="B51" t="s" s="5">
        <v>74</v>
      </c>
      <c r="C51" s="6">
        <v>100</v>
      </c>
      <c r="D51" s="7" cm="1">
        <f t="array" ref="D51">20*C51</f>
        <v>2000</v>
      </c>
      <c r="E51" s="8">
        <v>1</v>
      </c>
      <c r="F51" s="9">
        <v>2</v>
      </c>
      <c r="G51" s="9">
        <v>5</v>
      </c>
      <c r="H51" s="9">
        <v>0.1</v>
      </c>
      <c r="I51" s="9" cm="1">
        <f t="array" ref="I51">G51*H51</f>
        <v>0.5</v>
      </c>
      <c r="J51" s="9" cm="1">
        <f t="array" ref="J51">D51/C51*G51</f>
        <v>100</v>
      </c>
      <c r="K51" s="9" cm="1">
        <f t="array" ref="K51">J51*H51</f>
        <v>10</v>
      </c>
      <c r="L51" s="9">
        <v>5</v>
      </c>
      <c r="M51" t="s" s="5">
        <v>74</v>
      </c>
      <c r="N51" s="6">
        <v>250</v>
      </c>
      <c r="O51" s="10"/>
      <c r="P51" s="9">
        <v>0.15</v>
      </c>
      <c r="Q51" s="9" cm="1">
        <f t="array" ref="Q51">P51*20</f>
        <v>3</v>
      </c>
      <c r="R51" s="9">
        <v>0.5</v>
      </c>
      <c r="S51" s="9" cm="1">
        <f t="array" ref="S51">R51*20</f>
        <v>10</v>
      </c>
      <c r="T51" s="9">
        <v>0.1</v>
      </c>
      <c r="U51" s="9" cm="1">
        <f t="array" ref="U51">T51*20</f>
        <v>2</v>
      </c>
      <c r="V51" s="9" cm="1">
        <f t="array" ref="V51">T51+R51+P51+L51+K51+F51</f>
        <v>17.75</v>
      </c>
      <c r="W51" s="9" cm="1">
        <f t="array" ref="W51">U51+S51+Q51+K51</f>
        <v>25</v>
      </c>
      <c r="X51" s="9" cm="1">
        <f t="array" ref="X51">W51+L51+F51</f>
        <v>32</v>
      </c>
      <c r="Y51" s="11" cm="1">
        <f t="array" ref="Y51">X51/60</f>
        <v>0.533333333333333</v>
      </c>
      <c r="Z51" t="s" s="5">
        <v>74</v>
      </c>
      <c r="AA51" s="6">
        <v>250</v>
      </c>
    </row>
    <row r="52" ht="20.45" customHeight="1">
      <c r="A52" t="s" s="5">
        <v>44</v>
      </c>
      <c r="B52" t="s" s="5">
        <v>75</v>
      </c>
      <c r="C52" s="6">
        <v>100</v>
      </c>
      <c r="D52" s="7" cm="1">
        <f t="array" ref="D52">20*C52</f>
        <v>2000</v>
      </c>
      <c r="E52" s="8">
        <v>1</v>
      </c>
      <c r="F52" s="9">
        <v>2</v>
      </c>
      <c r="G52" s="9">
        <v>4</v>
      </c>
      <c r="H52" s="9">
        <v>0.1</v>
      </c>
      <c r="I52" s="9" cm="1">
        <f t="array" ref="I52">G52*H52</f>
        <v>0.4</v>
      </c>
      <c r="J52" s="9" cm="1">
        <f t="array" ref="J52">D52/C52*G52</f>
        <v>80</v>
      </c>
      <c r="K52" s="9" cm="1">
        <f t="array" ref="K52">J52*H52</f>
        <v>8</v>
      </c>
      <c r="L52" s="9">
        <v>5</v>
      </c>
      <c r="M52" t="s" s="5">
        <v>75</v>
      </c>
      <c r="N52" s="6">
        <v>250</v>
      </c>
      <c r="O52" s="10"/>
      <c r="P52" s="9">
        <v>0.15</v>
      </c>
      <c r="Q52" s="9" cm="1">
        <f t="array" ref="Q52">P52*20</f>
        <v>3</v>
      </c>
      <c r="R52" s="9">
        <v>0.5</v>
      </c>
      <c r="S52" s="9" cm="1">
        <f t="array" ref="S52">R52*20</f>
        <v>10</v>
      </c>
      <c r="T52" s="9">
        <v>0.1</v>
      </c>
      <c r="U52" s="9" cm="1">
        <f t="array" ref="U52">T52*20</f>
        <v>2</v>
      </c>
      <c r="V52" s="9" cm="1">
        <f t="array" ref="V52">T52+R52+P52+L52+K52+F52</f>
        <v>15.75</v>
      </c>
      <c r="W52" s="9" cm="1">
        <f t="array" ref="W52">U52+S52+Q52+K52</f>
        <v>23</v>
      </c>
      <c r="X52" s="9" cm="1">
        <f t="array" ref="X52">W52+L52+F52</f>
        <v>30</v>
      </c>
      <c r="Y52" s="11" cm="1">
        <f t="array" ref="Y52">X52/60</f>
        <v>0.5</v>
      </c>
      <c r="Z52" t="s" s="5">
        <v>75</v>
      </c>
      <c r="AA52" s="6">
        <v>250</v>
      </c>
    </row>
    <row r="53" ht="20.45" customHeight="1">
      <c r="A53" t="s" s="5">
        <v>44</v>
      </c>
      <c r="B53" t="s" s="5">
        <v>76</v>
      </c>
      <c r="C53" s="6">
        <v>250</v>
      </c>
      <c r="D53" s="7" cm="1">
        <f t="array" ref="D53">20*C53</f>
        <v>5000</v>
      </c>
      <c r="E53" s="8">
        <v>1</v>
      </c>
      <c r="F53" s="9">
        <v>2</v>
      </c>
      <c r="G53" s="9">
        <v>10</v>
      </c>
      <c r="H53" s="9">
        <v>0.1</v>
      </c>
      <c r="I53" s="9" cm="1">
        <f t="array" ref="I53">G53*H53</f>
        <v>1</v>
      </c>
      <c r="J53" s="9" cm="1">
        <f t="array" ref="J53">D53/C53*G53</f>
        <v>200</v>
      </c>
      <c r="K53" s="9" cm="1">
        <f t="array" ref="K53">J53*H53</f>
        <v>20</v>
      </c>
      <c r="L53" s="9">
        <v>5</v>
      </c>
      <c r="M53" t="s" s="5">
        <v>76</v>
      </c>
      <c r="N53" s="6">
        <v>250</v>
      </c>
      <c r="O53" s="10"/>
      <c r="P53" s="9">
        <v>1</v>
      </c>
      <c r="Q53" s="9" cm="1">
        <f t="array" ref="Q53">P53*20</f>
        <v>20</v>
      </c>
      <c r="R53" s="9">
        <v>0.5</v>
      </c>
      <c r="S53" s="9" cm="1">
        <f t="array" ref="S53">R53*20</f>
        <v>10</v>
      </c>
      <c r="T53" s="9">
        <v>0.1</v>
      </c>
      <c r="U53" s="9" cm="1">
        <f t="array" ref="U53">T53*20</f>
        <v>2</v>
      </c>
      <c r="V53" s="9" cm="1">
        <f t="array" ref="V53">T53+R53+P53+L53+K53+F53</f>
        <v>28.6</v>
      </c>
      <c r="W53" s="9" cm="1">
        <f t="array" ref="W53">U53+S53+Q53+K53</f>
        <v>52</v>
      </c>
      <c r="X53" s="9" cm="1">
        <f t="array" ref="X53">W53+L53+F53</f>
        <v>59</v>
      </c>
      <c r="Y53" s="11" cm="1">
        <f t="array" ref="Y53">X53/60</f>
        <v>0.9833333333333329</v>
      </c>
      <c r="Z53" t="s" s="5">
        <v>76</v>
      </c>
      <c r="AA53" s="6">
        <v>250</v>
      </c>
    </row>
    <row r="54" ht="32.45" customHeight="1">
      <c r="A54" t="s" s="5">
        <v>29</v>
      </c>
      <c r="B54" t="s" s="5">
        <v>77</v>
      </c>
      <c r="C54" s="6">
        <v>100</v>
      </c>
      <c r="D54" s="7" cm="1">
        <f t="array" ref="D54">20*C54</f>
        <v>2000</v>
      </c>
      <c r="E54" s="8">
        <v>1</v>
      </c>
      <c r="F54" s="9">
        <v>2</v>
      </c>
      <c r="G54" s="9">
        <v>4</v>
      </c>
      <c r="H54" s="9">
        <v>0.1</v>
      </c>
      <c r="I54" s="9" cm="1">
        <f t="array" ref="I54">G54*H54</f>
        <v>0.4</v>
      </c>
      <c r="J54" s="9" cm="1">
        <f t="array" ref="J54">D54/C54*G54</f>
        <v>80</v>
      </c>
      <c r="K54" s="9" cm="1">
        <f t="array" ref="K54">J54*H54</f>
        <v>8</v>
      </c>
      <c r="L54" s="9">
        <v>5</v>
      </c>
      <c r="M54" t="s" s="5">
        <v>77</v>
      </c>
      <c r="N54" s="6">
        <v>250</v>
      </c>
      <c r="O54" s="10"/>
      <c r="P54" s="9">
        <v>0.15</v>
      </c>
      <c r="Q54" s="9" cm="1">
        <f t="array" ref="Q54">P54*20</f>
        <v>3</v>
      </c>
      <c r="R54" s="9">
        <v>0.5</v>
      </c>
      <c r="S54" s="9" cm="1">
        <f t="array" ref="S54">R54*20</f>
        <v>10</v>
      </c>
      <c r="T54" s="9">
        <v>0.1</v>
      </c>
      <c r="U54" s="9" cm="1">
        <f t="array" ref="U54">T54*20</f>
        <v>2</v>
      </c>
      <c r="V54" s="9" cm="1">
        <f t="array" ref="V54">T54+R54+P54+L54+K54+F54</f>
        <v>15.75</v>
      </c>
      <c r="W54" s="9" cm="1">
        <f t="array" ref="W54">U54+S54+Q54+K54</f>
        <v>23</v>
      </c>
      <c r="X54" s="9" cm="1">
        <f t="array" ref="X54">W54+L54+F54</f>
        <v>30</v>
      </c>
      <c r="Y54" s="11" cm="1">
        <f t="array" ref="Y54">X54/60</f>
        <v>0.5</v>
      </c>
      <c r="Z54" t="s" s="5">
        <v>77</v>
      </c>
      <c r="AA54" s="6">
        <v>250</v>
      </c>
    </row>
    <row r="55" ht="20.45" customHeight="1">
      <c r="A55" t="s" s="5">
        <v>29</v>
      </c>
      <c r="B55" t="s" s="5">
        <v>78</v>
      </c>
      <c r="C55" s="6">
        <v>250</v>
      </c>
      <c r="D55" s="7" cm="1">
        <f t="array" ref="D55">20*C55</f>
        <v>5000</v>
      </c>
      <c r="E55" s="8">
        <v>1</v>
      </c>
      <c r="F55" s="9">
        <v>2</v>
      </c>
      <c r="G55" s="9">
        <v>1</v>
      </c>
      <c r="H55" s="9">
        <v>0.1</v>
      </c>
      <c r="I55" s="9" cm="1">
        <f t="array" ref="I55">G55*H55</f>
        <v>0.1</v>
      </c>
      <c r="J55" s="9" cm="1">
        <f t="array" ref="J55">D55/C55*G55</f>
        <v>20</v>
      </c>
      <c r="K55" s="9" cm="1">
        <f t="array" ref="K55">J55*H55</f>
        <v>2</v>
      </c>
      <c r="L55" s="9">
        <v>5</v>
      </c>
      <c r="M55" t="s" s="5">
        <v>78</v>
      </c>
      <c r="N55" s="6">
        <v>250</v>
      </c>
      <c r="O55" s="10"/>
      <c r="P55" s="9">
        <v>0.1</v>
      </c>
      <c r="Q55" s="9" cm="1">
        <f t="array" ref="Q55">P55*20</f>
        <v>2</v>
      </c>
      <c r="R55" s="9">
        <v>0.5</v>
      </c>
      <c r="S55" s="9" cm="1">
        <f t="array" ref="S55">R55*20</f>
        <v>10</v>
      </c>
      <c r="T55" s="9">
        <v>0.1</v>
      </c>
      <c r="U55" s="9" cm="1">
        <f t="array" ref="U55">T55*20</f>
        <v>2</v>
      </c>
      <c r="V55" s="9" cm="1">
        <f t="array" ref="V55">T55+R55+P55+L55+K55+F55</f>
        <v>9.699999999999999</v>
      </c>
      <c r="W55" s="9" cm="1">
        <f t="array" ref="W55">U55+S55+Q55+K55</f>
        <v>16</v>
      </c>
      <c r="X55" s="9" cm="1">
        <f t="array" ref="X55">W55+L55+F55</f>
        <v>23</v>
      </c>
      <c r="Y55" s="11" cm="1">
        <f t="array" ref="Y55">X55/60</f>
        <v>0.383333333333333</v>
      </c>
      <c r="Z55" t="s" s="5">
        <v>78</v>
      </c>
      <c r="AA55" s="6">
        <v>250</v>
      </c>
    </row>
    <row r="56" ht="20.45" customHeight="1">
      <c r="A56" t="s" s="5">
        <v>29</v>
      </c>
      <c r="B56" t="s" s="5">
        <v>79</v>
      </c>
      <c r="C56" s="6">
        <v>250</v>
      </c>
      <c r="D56" s="7" cm="1">
        <f t="array" ref="D56">20*C56</f>
        <v>5000</v>
      </c>
      <c r="E56" s="8">
        <v>1</v>
      </c>
      <c r="F56" s="9">
        <v>1</v>
      </c>
      <c r="G56" s="9">
        <v>10</v>
      </c>
      <c r="H56" s="9">
        <v>0.1</v>
      </c>
      <c r="I56" s="9" cm="1">
        <f t="array" ref="I56">G56*H56</f>
        <v>1</v>
      </c>
      <c r="J56" s="9" cm="1">
        <f t="array" ref="J56">D56/C56*G56</f>
        <v>200</v>
      </c>
      <c r="K56" s="9" cm="1">
        <f t="array" ref="K56">J56*H56</f>
        <v>20</v>
      </c>
      <c r="L56" s="9">
        <v>5</v>
      </c>
      <c r="M56" t="s" s="5">
        <v>79</v>
      </c>
      <c r="N56" s="6">
        <v>250</v>
      </c>
      <c r="O56" s="10"/>
      <c r="P56" s="9">
        <v>5</v>
      </c>
      <c r="Q56" s="9" cm="1">
        <f t="array" ref="Q56">P56*20</f>
        <v>100</v>
      </c>
      <c r="R56" s="9">
        <v>0.5</v>
      </c>
      <c r="S56" s="9" cm="1">
        <f t="array" ref="S56">R56*20</f>
        <v>10</v>
      </c>
      <c r="T56" s="9">
        <v>0.1</v>
      </c>
      <c r="U56" s="9" cm="1">
        <f t="array" ref="U56">T56*20</f>
        <v>2</v>
      </c>
      <c r="V56" s="9" cm="1">
        <f t="array" ref="V56">T56+R56+P56+L56+K56+F56</f>
        <v>31.6</v>
      </c>
      <c r="W56" s="9" cm="1">
        <f t="array" ref="W56">U56+S56+Q56+K56</f>
        <v>132</v>
      </c>
      <c r="X56" s="9" cm="1">
        <f t="array" ref="X56">W56+L56+F56</f>
        <v>138</v>
      </c>
      <c r="Y56" s="11" cm="1">
        <f t="array" ref="Y56">X56/60</f>
        <v>2.3</v>
      </c>
      <c r="Z56" t="s" s="5">
        <v>79</v>
      </c>
      <c r="AA56" s="6">
        <v>250</v>
      </c>
    </row>
    <row r="57" ht="44.45" customHeight="1">
      <c r="A57" t="s" s="5">
        <v>29</v>
      </c>
      <c r="B57" t="s" s="5">
        <v>80</v>
      </c>
      <c r="C57" s="6">
        <v>250</v>
      </c>
      <c r="D57" s="7" cm="1">
        <f t="array" ref="D57">20*C57</f>
        <v>5000</v>
      </c>
      <c r="E57" s="8">
        <v>1</v>
      </c>
      <c r="F57" s="9">
        <v>2</v>
      </c>
      <c r="G57" s="9">
        <v>10</v>
      </c>
      <c r="H57" s="9">
        <v>0.1</v>
      </c>
      <c r="I57" s="9" cm="1">
        <f t="array" ref="I57">G57*H57</f>
        <v>1</v>
      </c>
      <c r="J57" s="9" cm="1">
        <f t="array" ref="J57">D57/C57*G57</f>
        <v>200</v>
      </c>
      <c r="K57" s="9" cm="1">
        <f t="array" ref="K57">J57*H57</f>
        <v>20</v>
      </c>
      <c r="L57" s="9">
        <v>5</v>
      </c>
      <c r="M57" t="s" s="5">
        <v>80</v>
      </c>
      <c r="N57" s="6">
        <v>250</v>
      </c>
      <c r="O57" s="10"/>
      <c r="P57" s="9">
        <v>2</v>
      </c>
      <c r="Q57" s="9" cm="1">
        <f t="array" ref="Q57">P57*20</f>
        <v>40</v>
      </c>
      <c r="R57" s="9">
        <v>0.5</v>
      </c>
      <c r="S57" s="9" cm="1">
        <f t="array" ref="S57">R57*20</f>
        <v>10</v>
      </c>
      <c r="T57" s="9">
        <v>0.1</v>
      </c>
      <c r="U57" s="9" cm="1">
        <f t="array" ref="U57">T57*20</f>
        <v>2</v>
      </c>
      <c r="V57" s="9" cm="1">
        <f t="array" ref="V57">T57+R57+P57+L57+K57+F57</f>
        <v>29.6</v>
      </c>
      <c r="W57" s="9" cm="1">
        <f t="array" ref="W57">U57+S57+Q57+K57</f>
        <v>72</v>
      </c>
      <c r="X57" s="9" cm="1">
        <f t="array" ref="X57">W57+L57+F57</f>
        <v>79</v>
      </c>
      <c r="Y57" s="11" cm="1">
        <f t="array" ref="Y57">X57/60</f>
        <v>1.31666666666667</v>
      </c>
      <c r="Z57" t="s" s="5">
        <v>80</v>
      </c>
      <c r="AA57" s="6">
        <v>250</v>
      </c>
    </row>
    <row r="58" ht="52.45" customHeight="1">
      <c r="A58" t="s" s="5">
        <v>23</v>
      </c>
      <c r="B58" t="s" s="5">
        <v>81</v>
      </c>
      <c r="C58" s="6">
        <v>50</v>
      </c>
      <c r="D58" s="7" cm="1">
        <f t="array" ref="D58">20*C58</f>
        <v>1000</v>
      </c>
      <c r="E58" s="8">
        <v>1</v>
      </c>
      <c r="F58" s="17">
        <v>0.5</v>
      </c>
      <c r="G58" s="9">
        <v>2</v>
      </c>
      <c r="H58" s="9">
        <v>0.2</v>
      </c>
      <c r="I58" s="9" cm="1">
        <f t="array" ref="I58">G58*H58</f>
        <v>0.4</v>
      </c>
      <c r="J58" s="9" cm="1">
        <f t="array" ref="J58">D58/C58*G58</f>
        <v>40</v>
      </c>
      <c r="K58" s="9" cm="1">
        <f t="array" ref="K58">J58*H58</f>
        <v>8</v>
      </c>
      <c r="L58" s="9">
        <v>5</v>
      </c>
      <c r="M58" t="s" s="5">
        <v>81</v>
      </c>
      <c r="N58" s="6">
        <v>50</v>
      </c>
      <c r="O58" s="10"/>
      <c r="P58" s="9">
        <v>5</v>
      </c>
      <c r="Q58" s="9" cm="1">
        <f t="array" ref="Q58">P58*20</f>
        <v>100</v>
      </c>
      <c r="R58" s="9">
        <v>0.5</v>
      </c>
      <c r="S58" s="9" cm="1">
        <f t="array" ref="S58">R58*20</f>
        <v>10</v>
      </c>
      <c r="T58" s="9">
        <v>0.1</v>
      </c>
      <c r="U58" s="9" cm="1">
        <f t="array" ref="U58">T58*20</f>
        <v>2</v>
      </c>
      <c r="V58" s="9" cm="1">
        <f t="array" ref="V58">T58+R58+P58+L58+K58+F58</f>
        <v>19.1</v>
      </c>
      <c r="W58" s="9" cm="1">
        <f t="array" ref="W58">U58+S58+Q58+K58</f>
        <v>120</v>
      </c>
      <c r="X58" s="9" cm="1">
        <f t="array" ref="X58">W58+L58+F58</f>
        <v>125.5</v>
      </c>
      <c r="Y58" s="11" cm="1">
        <f t="array" ref="Y58">X58/60</f>
        <v>2.09166666666667</v>
      </c>
      <c r="Z58" t="s" s="5">
        <v>81</v>
      </c>
      <c r="AA58" s="6">
        <v>50</v>
      </c>
    </row>
    <row r="59" ht="20.45" customHeight="1">
      <c r="A59" t="s" s="5">
        <v>29</v>
      </c>
      <c r="B59" t="s" s="5">
        <v>82</v>
      </c>
      <c r="C59" s="6">
        <v>250</v>
      </c>
      <c r="D59" s="7" cm="1">
        <f t="array" ref="D59">20*C59</f>
        <v>5000</v>
      </c>
      <c r="E59" s="8">
        <v>1</v>
      </c>
      <c r="F59" s="9">
        <v>0.5</v>
      </c>
      <c r="G59" s="9">
        <v>10</v>
      </c>
      <c r="H59" s="9">
        <v>0.1</v>
      </c>
      <c r="I59" s="9" cm="1">
        <f t="array" ref="I59">G59*H59</f>
        <v>1</v>
      </c>
      <c r="J59" s="9" cm="1">
        <f t="array" ref="J59">D59/C59*G59</f>
        <v>200</v>
      </c>
      <c r="K59" s="9" cm="1">
        <f t="array" ref="K59">J59*H59</f>
        <v>20</v>
      </c>
      <c r="L59" s="9">
        <v>5</v>
      </c>
      <c r="M59" t="s" s="5">
        <v>82</v>
      </c>
      <c r="N59" s="6">
        <v>250</v>
      </c>
      <c r="O59" s="10"/>
      <c r="P59" s="9">
        <v>4</v>
      </c>
      <c r="Q59" s="9" cm="1">
        <f t="array" ref="Q59">P59*20</f>
        <v>80</v>
      </c>
      <c r="R59" s="9">
        <v>0.5</v>
      </c>
      <c r="S59" s="9" cm="1">
        <f t="array" ref="S59">R59*20</f>
        <v>10</v>
      </c>
      <c r="T59" s="9">
        <v>0.1</v>
      </c>
      <c r="U59" s="9" cm="1">
        <f t="array" ref="U59">T59*20</f>
        <v>2</v>
      </c>
      <c r="V59" s="9" cm="1">
        <f t="array" ref="V59">T59+R59+P59+L59+K59+F59</f>
        <v>30.1</v>
      </c>
      <c r="W59" s="9" cm="1">
        <f t="array" ref="W59">U59+S59+Q59+K59</f>
        <v>112</v>
      </c>
      <c r="X59" s="9" cm="1">
        <f t="array" ref="X59">W59+L59+F59</f>
        <v>117.5</v>
      </c>
      <c r="Y59" s="11" cm="1">
        <f t="array" ref="Y59">X59/60</f>
        <v>1.95833333333333</v>
      </c>
      <c r="Z59" t="s" s="5">
        <v>82</v>
      </c>
      <c r="AA59" s="6">
        <v>250</v>
      </c>
    </row>
    <row r="60" ht="20.45" customHeight="1">
      <c r="A60" t="s" s="5">
        <v>29</v>
      </c>
      <c r="B60" t="s" s="5">
        <v>83</v>
      </c>
      <c r="C60" s="6">
        <v>250</v>
      </c>
      <c r="D60" s="7" cm="1">
        <f t="array" ref="D60">20*C60</f>
        <v>5000</v>
      </c>
      <c r="E60" s="8">
        <v>1</v>
      </c>
      <c r="F60" s="9">
        <v>0.5</v>
      </c>
      <c r="G60" s="9">
        <v>10</v>
      </c>
      <c r="H60" s="9">
        <v>0.1</v>
      </c>
      <c r="I60" s="9" cm="1">
        <f t="array" ref="I60">G60*H60</f>
        <v>1</v>
      </c>
      <c r="J60" s="9" cm="1">
        <f t="array" ref="J60">D60/C60*G60</f>
        <v>200</v>
      </c>
      <c r="K60" s="9" cm="1">
        <f t="array" ref="K60">J60*H60</f>
        <v>20</v>
      </c>
      <c r="L60" s="9">
        <v>5</v>
      </c>
      <c r="M60" t="s" s="5">
        <v>83</v>
      </c>
      <c r="N60" s="6">
        <v>250</v>
      </c>
      <c r="O60" s="10"/>
      <c r="P60" s="9">
        <v>3</v>
      </c>
      <c r="Q60" s="9" cm="1">
        <f t="array" ref="Q60">P60*20</f>
        <v>60</v>
      </c>
      <c r="R60" s="9">
        <v>0.5</v>
      </c>
      <c r="S60" s="9" cm="1">
        <f t="array" ref="S60">R60*20</f>
        <v>10</v>
      </c>
      <c r="T60" s="9">
        <v>0.1</v>
      </c>
      <c r="U60" s="9" cm="1">
        <f t="array" ref="U60">T60*20</f>
        <v>2</v>
      </c>
      <c r="V60" s="9" cm="1">
        <f t="array" ref="V60">T60+R60+P60+L60+K60+F60</f>
        <v>29.1</v>
      </c>
      <c r="W60" s="9" cm="1">
        <f t="array" ref="W60">U60+S60+Q60+K60</f>
        <v>92</v>
      </c>
      <c r="X60" s="9" cm="1">
        <f t="array" ref="X60">W60+L60+F60</f>
        <v>97.5</v>
      </c>
      <c r="Y60" s="11" cm="1">
        <f t="array" ref="Y60">X60/60</f>
        <v>1.625</v>
      </c>
      <c r="Z60" t="s" s="5">
        <v>83</v>
      </c>
      <c r="AA60" s="6">
        <v>250</v>
      </c>
    </row>
    <row r="61" ht="20.45" customHeight="1">
      <c r="A61" t="s" s="5">
        <v>44</v>
      </c>
      <c r="B61" t="s" s="5">
        <v>84</v>
      </c>
      <c r="C61" s="6">
        <v>100</v>
      </c>
      <c r="D61" s="7" cm="1">
        <f t="array" ref="D61">20*C61</f>
        <v>2000</v>
      </c>
      <c r="E61" s="8">
        <v>1</v>
      </c>
      <c r="F61" s="9">
        <v>0.5</v>
      </c>
      <c r="G61" s="9">
        <v>4</v>
      </c>
      <c r="H61" s="9">
        <v>0.1</v>
      </c>
      <c r="I61" s="9" cm="1">
        <f t="array" ref="I61">G61*H61</f>
        <v>0.4</v>
      </c>
      <c r="J61" s="9" cm="1">
        <f t="array" ref="J61">D61/C61*G61</f>
        <v>80</v>
      </c>
      <c r="K61" s="9" cm="1">
        <f t="array" ref="K61">J61*H61</f>
        <v>8</v>
      </c>
      <c r="L61" s="9">
        <v>5</v>
      </c>
      <c r="M61" t="s" s="5">
        <v>84</v>
      </c>
      <c r="N61" s="6">
        <v>250</v>
      </c>
      <c r="O61" s="10"/>
      <c r="P61" s="9">
        <v>3</v>
      </c>
      <c r="Q61" s="9" cm="1">
        <f t="array" ref="Q61">P61*20</f>
        <v>60</v>
      </c>
      <c r="R61" s="9">
        <v>0.5</v>
      </c>
      <c r="S61" s="9" cm="1">
        <f t="array" ref="S61">R61*20</f>
        <v>10</v>
      </c>
      <c r="T61" s="9">
        <v>0.1</v>
      </c>
      <c r="U61" s="9" cm="1">
        <f t="array" ref="U61">T61*20</f>
        <v>2</v>
      </c>
      <c r="V61" s="9" cm="1">
        <f t="array" ref="V61">T61+R61+P61+L61+K61+F61</f>
        <v>17.1</v>
      </c>
      <c r="W61" s="9" cm="1">
        <f t="array" ref="W61">U61+S61+Q61+K61</f>
        <v>80</v>
      </c>
      <c r="X61" s="9" cm="1">
        <f t="array" ref="X61">W61+L61+F61</f>
        <v>85.5</v>
      </c>
      <c r="Y61" s="11" cm="1">
        <f t="array" ref="Y61">X61/60</f>
        <v>1.425</v>
      </c>
      <c r="Z61" t="s" s="5">
        <v>84</v>
      </c>
      <c r="AA61" s="6">
        <v>250</v>
      </c>
    </row>
    <row r="62" ht="20.45" customHeight="1">
      <c r="A62" t="s" s="5">
        <v>44</v>
      </c>
      <c r="B62" t="s" s="5">
        <v>85</v>
      </c>
      <c r="C62" s="6">
        <v>250</v>
      </c>
      <c r="D62" s="7" cm="1">
        <f t="array" ref="D62">20*C62</f>
        <v>5000</v>
      </c>
      <c r="E62" s="8">
        <v>1</v>
      </c>
      <c r="F62" s="9">
        <v>0.5</v>
      </c>
      <c r="G62" s="9">
        <v>10</v>
      </c>
      <c r="H62" s="9">
        <v>0.1</v>
      </c>
      <c r="I62" s="9" cm="1">
        <f t="array" ref="I62">G62*H62</f>
        <v>1</v>
      </c>
      <c r="J62" s="9" cm="1">
        <f t="array" ref="J62">D62/C62*G62</f>
        <v>200</v>
      </c>
      <c r="K62" s="9" cm="1">
        <f t="array" ref="K62">J62*H62</f>
        <v>20</v>
      </c>
      <c r="L62" s="9">
        <v>5</v>
      </c>
      <c r="M62" t="s" s="5">
        <v>85</v>
      </c>
      <c r="N62" s="6">
        <v>250</v>
      </c>
      <c r="O62" s="10"/>
      <c r="P62" s="9">
        <v>5</v>
      </c>
      <c r="Q62" s="9" cm="1">
        <f t="array" ref="Q62">P62*20</f>
        <v>100</v>
      </c>
      <c r="R62" s="9">
        <v>0.5</v>
      </c>
      <c r="S62" s="9" cm="1">
        <f t="array" ref="S62">R62*20</f>
        <v>10</v>
      </c>
      <c r="T62" s="9">
        <v>0.1</v>
      </c>
      <c r="U62" s="9" cm="1">
        <f t="array" ref="U62">T62*20</f>
        <v>2</v>
      </c>
      <c r="V62" s="9" cm="1">
        <f t="array" ref="V62">T62+R62+P62+L62+K62+F62</f>
        <v>31.1</v>
      </c>
      <c r="W62" s="9" cm="1">
        <f t="array" ref="W62">U62+S62+Q62+K62</f>
        <v>132</v>
      </c>
      <c r="X62" s="9" cm="1">
        <f t="array" ref="X62">W62+L62+F62</f>
        <v>137.5</v>
      </c>
      <c r="Y62" s="11" cm="1">
        <f t="array" ref="Y62">X62/60</f>
        <v>2.29166666666667</v>
      </c>
      <c r="Z62" t="s" s="5">
        <v>85</v>
      </c>
      <c r="AA62" s="6">
        <v>250</v>
      </c>
    </row>
    <row r="63" ht="20.45" customHeight="1">
      <c r="A63" t="s" s="5">
        <v>44</v>
      </c>
      <c r="B63" t="s" s="5">
        <v>86</v>
      </c>
      <c r="C63" s="6">
        <v>250</v>
      </c>
      <c r="D63" s="7" cm="1">
        <f t="array" ref="D63">20*C63</f>
        <v>5000</v>
      </c>
      <c r="E63" s="8">
        <v>1</v>
      </c>
      <c r="F63" s="9">
        <v>0.5</v>
      </c>
      <c r="G63" s="9">
        <v>1</v>
      </c>
      <c r="H63" s="9">
        <v>0.2</v>
      </c>
      <c r="I63" s="9" cm="1">
        <f t="array" ref="I63">G63*H63</f>
        <v>0.2</v>
      </c>
      <c r="J63" s="9" cm="1">
        <f t="array" ref="J63">D63/C63*G63</f>
        <v>20</v>
      </c>
      <c r="K63" s="9" cm="1">
        <f t="array" ref="K63">J63*H63</f>
        <v>4</v>
      </c>
      <c r="L63" s="9">
        <v>5</v>
      </c>
      <c r="M63" t="s" s="5">
        <v>86</v>
      </c>
      <c r="N63" s="6">
        <v>250</v>
      </c>
      <c r="O63" s="10"/>
      <c r="P63" s="9">
        <v>2</v>
      </c>
      <c r="Q63" s="9" cm="1">
        <f t="array" ref="Q63">P63*20</f>
        <v>40</v>
      </c>
      <c r="R63" s="9">
        <v>0.5</v>
      </c>
      <c r="S63" s="9" cm="1">
        <f t="array" ref="S63">R63*20</f>
        <v>10</v>
      </c>
      <c r="T63" s="9">
        <v>0.1</v>
      </c>
      <c r="U63" s="9" cm="1">
        <f t="array" ref="U63">T63*20</f>
        <v>2</v>
      </c>
      <c r="V63" s="9" cm="1">
        <f t="array" ref="V63">T63+R63+P63+L63+K63+F63</f>
        <v>12.1</v>
      </c>
      <c r="W63" s="9" cm="1">
        <f t="array" ref="W63">U63+S63+Q63+K63</f>
        <v>56</v>
      </c>
      <c r="X63" s="9" cm="1">
        <f t="array" ref="X63">W63+L63+F63</f>
        <v>61.5</v>
      </c>
      <c r="Y63" s="11" cm="1">
        <f t="array" ref="Y63">X63/60</f>
        <v>1.025</v>
      </c>
      <c r="Z63" t="s" s="5">
        <v>86</v>
      </c>
      <c r="AA63" s="6">
        <v>250</v>
      </c>
    </row>
    <row r="64" ht="20.45" customHeight="1">
      <c r="A64" t="s" s="5">
        <v>44</v>
      </c>
      <c r="B64" t="s" s="5">
        <v>87</v>
      </c>
      <c r="C64" s="6">
        <v>100</v>
      </c>
      <c r="D64" s="7" cm="1">
        <f t="array" ref="D64">20*C64</f>
        <v>2000</v>
      </c>
      <c r="E64" s="8">
        <v>1</v>
      </c>
      <c r="F64" s="9">
        <v>0.5</v>
      </c>
      <c r="G64" s="9">
        <v>4</v>
      </c>
      <c r="H64" s="9">
        <v>0.1</v>
      </c>
      <c r="I64" s="9" cm="1">
        <f t="array" ref="I64">G64*H64</f>
        <v>0.4</v>
      </c>
      <c r="J64" s="9" cm="1">
        <f t="array" ref="J64">D64/C64*G64</f>
        <v>80</v>
      </c>
      <c r="K64" s="9" cm="1">
        <f t="array" ref="K64">J64*H64</f>
        <v>8</v>
      </c>
      <c r="L64" s="9">
        <v>5</v>
      </c>
      <c r="M64" t="s" s="5">
        <v>87</v>
      </c>
      <c r="N64" s="6">
        <v>250</v>
      </c>
      <c r="O64" s="10"/>
      <c r="P64" s="9">
        <v>2</v>
      </c>
      <c r="Q64" s="9" cm="1">
        <f t="array" ref="Q64">P64*20</f>
        <v>40</v>
      </c>
      <c r="R64" s="9">
        <v>0.5</v>
      </c>
      <c r="S64" s="9" cm="1">
        <f t="array" ref="S64">R64*20</f>
        <v>10</v>
      </c>
      <c r="T64" s="9">
        <v>0.1</v>
      </c>
      <c r="U64" s="9" cm="1">
        <f t="array" ref="U64">T64*20</f>
        <v>2</v>
      </c>
      <c r="V64" s="9" cm="1">
        <f t="array" ref="V64">T64+R64+P64+L64+K64+F64</f>
        <v>16.1</v>
      </c>
      <c r="W64" s="9" cm="1">
        <f t="array" ref="W64">U64+S64+Q64+K64</f>
        <v>60</v>
      </c>
      <c r="X64" s="9" cm="1">
        <f t="array" ref="X64">W64+L64+F64</f>
        <v>65.5</v>
      </c>
      <c r="Y64" s="11" cm="1">
        <f t="array" ref="Y64">X64/60</f>
        <v>1.09166666666667</v>
      </c>
      <c r="Z64" t="s" s="5">
        <v>87</v>
      </c>
      <c r="AA64" s="6">
        <v>250</v>
      </c>
    </row>
  </sheetData>
  <mergeCells count="1">
    <mergeCell ref="A1:AA1"/>
  </mergeCells>
  <dataValidations count="1">
    <dataValidation type="list" allowBlank="1" showInputMessage="1" showErrorMessage="1" sqref="B3:B7 M3:M7 Z3:Z7 B18:B20 M18:M20 Z18:Z20 B58 M58 Z58">
      <formula1>"Potato आलू (Aloo),Onion प्याज (Pyaz),Tomato टमाटर (Tamatar),Cucumber खीरा (Kheera),Lemon नींबू (Nimbu),Garlic लहसुन (Lahsun),Ginger अदरक (Adrak),Coriander धनिया पत्ता (Dhaniya Patta),Chillies Green हरी मिर्च (Hari Mirch)"</formula1>
    </dataValidation>
  </dataValidation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